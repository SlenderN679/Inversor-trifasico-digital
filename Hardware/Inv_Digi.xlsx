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\Desktop\Escola\PCBs\Inverter_Digi\"/>
    </mc:Choice>
  </mc:AlternateContent>
  <xr:revisionPtr revIDLastSave="0" documentId="8_{F9ADF9AB-6AD5-4B33-94D5-E30692728369}" xr6:coauthVersionLast="47" xr6:coauthVersionMax="47" xr10:uidLastSave="{00000000-0000-0000-0000-000000000000}"/>
  <bookViews>
    <workbookView xWindow="-105" yWindow="0" windowWidth="14610" windowHeight="15705" xr2:uid="{F034577E-25D1-46D8-AF08-27F0FDE01285}"/>
  </bookViews>
  <sheets>
    <sheet name="Inv_Digi" sheetId="1" r:id="rId1"/>
    <sheet name="INV" sheetId="2" r:id="rId2"/>
  </sheets>
  <calcPr calcId="0"/>
</workbook>
</file>

<file path=xl/calcChain.xml><?xml version="1.0" encoding="utf-8"?>
<calcChain xmlns="http://schemas.openxmlformats.org/spreadsheetml/2006/main">
  <c r="K44" i="1" l="1"/>
  <c r="M4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6" i="1"/>
  <c r="L38" i="1"/>
  <c r="L40" i="1"/>
  <c r="L42" i="1"/>
  <c r="L43" i="1"/>
  <c r="L44" i="1"/>
  <c r="L46" i="1"/>
  <c r="L47" i="1"/>
  <c r="L48" i="1"/>
  <c r="L49" i="1"/>
  <c r="L50" i="1"/>
  <c r="L51" i="1"/>
  <c r="L52" i="1"/>
  <c r="L54" i="1"/>
  <c r="L2" i="1"/>
  <c r="I28" i="1"/>
  <c r="M28" i="1"/>
  <c r="N28" i="1"/>
  <c r="I20" i="1"/>
  <c r="N20" i="1"/>
  <c r="N21" i="1"/>
  <c r="N22" i="1"/>
  <c r="N23" i="1"/>
  <c r="N24" i="1"/>
  <c r="N25" i="1"/>
  <c r="N26" i="1"/>
  <c r="N2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46" i="1"/>
  <c r="M47" i="1"/>
  <c r="M48" i="1"/>
  <c r="M49" i="1"/>
  <c r="M50" i="1"/>
  <c r="M51" i="1"/>
  <c r="M52" i="1"/>
  <c r="M53" i="1"/>
  <c r="M54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2" i="1"/>
  <c r="I23" i="1"/>
  <c r="I24" i="1"/>
  <c r="I25" i="1"/>
  <c r="I26" i="1"/>
  <c r="I27" i="1"/>
  <c r="I29" i="1"/>
  <c r="I30" i="1"/>
  <c r="I31" i="1"/>
  <c r="I32" i="1"/>
  <c r="I33" i="1"/>
  <c r="I34" i="1"/>
  <c r="I35" i="1"/>
  <c r="L35" i="1" s="1"/>
  <c r="I36" i="1"/>
  <c r="I37" i="1"/>
  <c r="L37" i="1" s="1"/>
  <c r="I38" i="1"/>
  <c r="I39" i="1"/>
  <c r="L39" i="1" s="1"/>
  <c r="I40" i="1"/>
  <c r="I41" i="1"/>
  <c r="L41" i="1" s="1"/>
  <c r="I42" i="1"/>
  <c r="I43" i="1"/>
  <c r="I44" i="1"/>
  <c r="I45" i="1"/>
  <c r="L45" i="1" s="1"/>
  <c r="I46" i="1"/>
  <c r="I47" i="1"/>
  <c r="I48" i="1"/>
  <c r="I49" i="1"/>
  <c r="I50" i="1"/>
  <c r="I51" i="1"/>
  <c r="I52" i="1"/>
  <c r="I53" i="1"/>
  <c r="L53" i="1" s="1"/>
  <c r="I54" i="1"/>
  <c r="I2" i="1"/>
  <c r="K67" i="2"/>
  <c r="G67" i="2"/>
  <c r="K66" i="2"/>
  <c r="G66" i="2"/>
  <c r="K65" i="2"/>
  <c r="G65" i="2"/>
  <c r="K64" i="2"/>
  <c r="G64" i="2"/>
  <c r="K63" i="2"/>
  <c r="G63" i="2"/>
  <c r="K62" i="2"/>
  <c r="G62" i="2"/>
  <c r="K61" i="2"/>
  <c r="G61" i="2"/>
  <c r="K60" i="2"/>
  <c r="G60" i="2"/>
  <c r="K59" i="2"/>
  <c r="G59" i="2"/>
  <c r="K58" i="2"/>
  <c r="G58" i="2"/>
  <c r="K57" i="2"/>
  <c r="G57" i="2"/>
  <c r="K56" i="2"/>
  <c r="G56" i="2"/>
  <c r="K55" i="2"/>
  <c r="G55" i="2"/>
  <c r="K54" i="2"/>
  <c r="G54" i="2"/>
  <c r="K53" i="2"/>
  <c r="G53" i="2"/>
  <c r="K52" i="2"/>
  <c r="G52" i="2"/>
  <c r="K51" i="2"/>
  <c r="G51" i="2"/>
  <c r="K50" i="2"/>
  <c r="G50" i="2"/>
  <c r="K49" i="2"/>
  <c r="G49" i="2"/>
  <c r="K48" i="2"/>
  <c r="G48" i="2"/>
  <c r="K47" i="2"/>
  <c r="G47" i="2"/>
  <c r="K46" i="2"/>
  <c r="G46" i="2"/>
  <c r="K45" i="2"/>
  <c r="G45" i="2"/>
  <c r="K44" i="2"/>
  <c r="G44" i="2"/>
  <c r="K43" i="2"/>
  <c r="G43" i="2"/>
  <c r="K42" i="2"/>
  <c r="G42" i="2"/>
  <c r="K41" i="2"/>
  <c r="G41" i="2"/>
  <c r="K40" i="2"/>
  <c r="G40" i="2"/>
  <c r="K39" i="2"/>
  <c r="G39" i="2"/>
  <c r="K38" i="2"/>
  <c r="G38" i="2"/>
  <c r="K37" i="2"/>
  <c r="G37" i="2"/>
  <c r="K36" i="2"/>
  <c r="G36" i="2"/>
  <c r="K35" i="2"/>
  <c r="G35" i="2"/>
  <c r="K34" i="2"/>
  <c r="G34" i="2"/>
  <c r="K33" i="2"/>
  <c r="G33" i="2"/>
  <c r="K32" i="2"/>
  <c r="G32" i="2"/>
  <c r="K31" i="2"/>
  <c r="G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M31" i="2" s="1"/>
  <c r="G22" i="2"/>
  <c r="K21" i="2"/>
  <c r="G21" i="2"/>
  <c r="K20" i="2"/>
  <c r="G20" i="2"/>
  <c r="K19" i="2"/>
  <c r="G19" i="2"/>
  <c r="G18" i="2"/>
  <c r="G17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68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2" i="1"/>
  <c r="G56" i="1" s="1"/>
  <c r="M56" i="1" l="1"/>
  <c r="L56" i="1"/>
</calcChain>
</file>

<file path=xl/sharedStrings.xml><?xml version="1.0" encoding="utf-8"?>
<sst xmlns="http://schemas.openxmlformats.org/spreadsheetml/2006/main" count="492" uniqueCount="236">
  <si>
    <t>Reference</t>
  </si>
  <si>
    <t>Qty</t>
  </si>
  <si>
    <t>Value</t>
  </si>
  <si>
    <t>Price</t>
  </si>
  <si>
    <t>Footprint</t>
  </si>
  <si>
    <t>Datasheet</t>
  </si>
  <si>
    <t>CAmp1,Caux5,Caux6,Chcpl1,Chcpl2,Chcpl3,Chcpl4,Chcpl5,Chcpl6,Chcpl7,Chcpl8,Chcpl9,Chcpl10,Chcpl11</t>
  </si>
  <si>
    <t>0.1uF - Cer</t>
  </si>
  <si>
    <t>Capacitor_THT:C_Disc_D5.1mm_W3.2mm_P5.00mm</t>
  </si>
  <si>
    <t>https://www.digikey.pt/en/products/detail/kemet/C320C104K5R5TA/818040</t>
  </si>
  <si>
    <t>Caux1,Caux2,Caux3,Caux4,CFs1,CFs2</t>
  </si>
  <si>
    <t>1uF - Cer</t>
  </si>
  <si>
    <t>Capacitor_THT:C_Disc_D5.1mm_W3.2mm_P5.00mm,Capacitor_THT:C_Disc_D7.5mm_W4.4mm_P5.00mm</t>
  </si>
  <si>
    <t>https://www.digikey.pt/en/products/detail/kemet/C330C105M5U5TA/818166</t>
  </si>
  <si>
    <t>Cdc1,Cdc2,Cdc4,Cdc5</t>
  </si>
  <si>
    <t>10uF</t>
  </si>
  <si>
    <t>Capacitor_THT:CP_Radial_D5.0mm_P2.00mm</t>
  </si>
  <si>
    <t>https://www.digikey.pt/en/products/detail/w%C3%BCrth-elektronik/860020472003/5727057</t>
  </si>
  <si>
    <t>Cdc3,Cvcc5,Cvcc6</t>
  </si>
  <si>
    <t>10uF - Tant</t>
  </si>
  <si>
    <t>PCM_Capacitor_THT_AKL:CP_Radial_Tantal_D6.0mm_P2.50mm</t>
  </si>
  <si>
    <t>https://www.digikey.pt/en/products/detail/kyocera-avx/TAP106M035SCS/1471228</t>
  </si>
  <si>
    <t>Cdc6,Cdc7,Cdc8,Cdc9,Cdc10,Cdc11,Cdc12</t>
  </si>
  <si>
    <t>1uF</t>
  </si>
  <si>
    <t>https://www.digikey.pt/en/products/detail/w%C3%BCrth-elektronik/860020672005/5727088</t>
  </si>
  <si>
    <t>Cdc13</t>
  </si>
  <si>
    <t>0.33uF - Tant</t>
  </si>
  <si>
    <t>https://www.digikey.pt/en/products/detail/kyocera-avx/TAP334K035SRW/1471718</t>
  </si>
  <si>
    <t>Cdc14</t>
  </si>
  <si>
    <t>0.10uF - Tant</t>
  </si>
  <si>
    <t>https://www.digikey.pt/en/products/detail/kyocera-avx/TAP104M050SCS/1471017</t>
  </si>
  <si>
    <t>CF1,CF2,CF3,CF4,CF5</t>
  </si>
  <si>
    <t>1nF - Cer</t>
  </si>
  <si>
    <t>Capacitor_THT:C_Disc_D9.0mm_W5.0mm_P5.00mm</t>
  </si>
  <si>
    <t>https://www.digikey.pt/en/products/detail/vishay-beyschlag-draloric-bc-components/S102K33Y5PP63K5R/2356789</t>
  </si>
  <si>
    <t>Cfan1,Cfan2,Cfan3,Cfan4</t>
  </si>
  <si>
    <t>100uF</t>
  </si>
  <si>
    <t>https://www.digikey.pt/en/products/detail/w%C3%BCrth-elektronik/860020473008/5727062</t>
  </si>
  <si>
    <t>Cfilt1,Cfilt2,Cfilt3</t>
  </si>
  <si>
    <t>10uF 310Vac 630Vdc</t>
  </si>
  <si>
    <t>Custom:C4AF9BW5100T3JK</t>
  </si>
  <si>
    <t>https://www.digikey.pt/en/products/detail/kemet/C4AF9BW5100T3JK/14312514</t>
  </si>
  <si>
    <t>Cprot1</t>
  </si>
  <si>
    <t>10nF - Cer</t>
  </si>
  <si>
    <t>Capacitor_THT:C_Disc_D6.0mm_W2.5mm_P5.00mm</t>
  </si>
  <si>
    <t>https://www.digikey.pt/en/products/detail/kemet/C315C103K5R5TA/817924</t>
  </si>
  <si>
    <t>Cvcc1,Cvcc3,Cvcc4</t>
  </si>
  <si>
    <t>47uF</t>
  </si>
  <si>
    <t>https://www.digikey.pt/en/products/detail/w%C3%BCrth-elektronik/860020472006/5727060</t>
  </si>
  <si>
    <t>Cvcc2</t>
  </si>
  <si>
    <t>470uF</t>
  </si>
  <si>
    <t>https://www.digikey.pt/en/products/detail/w%C3%BCrth-elektronik/860020474014/5727068</t>
  </si>
  <si>
    <t>Dadc1,Dadc2,Dadc3,Dadc4,Dadc5,Dadc6</t>
  </si>
  <si>
    <t>1N5819</t>
  </si>
  <si>
    <t>PCM_Diode_THT_AKL:D_DO-15_P10.16mm_Horizontal</t>
  </si>
  <si>
    <t>https://www.digikey.pt/en/products/detail/diotec-semiconductor/1N5819/13164178</t>
  </si>
  <si>
    <t>Dhcpl1,Dhcpl2,Dhcpl3,Dhcpl4,Dhcpl5,Dhcpl6,Dhcpl7,Dhcpl8,Dhcpl9,Dhcpl10,Dhcpl11</t>
  </si>
  <si>
    <t>1.8V</t>
  </si>
  <si>
    <t>LED_THT:LED_D5.0mm</t>
  </si>
  <si>
    <t>https://www.digikey.pt/en/products/detail/liteon/LTL2R3KRD-EM/2675133</t>
  </si>
  <si>
    <t>Drel1,Drel2,Drel3,Dwheel1</t>
  </si>
  <si>
    <t>1N5408</t>
  </si>
  <si>
    <t>PCM_Diode_THT_AKL:D_DO-27_P12.70mm_Horizontal,PCM_Diode_THT_AKL:D_DO-27_P5.08mm_Vertical_AnodeUp</t>
  </si>
  <si>
    <t>https://www.digikey.pt/en/products/detail/diotec-semiconductor/1N5408/13163974</t>
  </si>
  <si>
    <t>DZprot1</t>
  </si>
  <si>
    <t>3V3</t>
  </si>
  <si>
    <t>Diode_THT:D_DO-41_SOD81_P7.62mm_Horizontal</t>
  </si>
  <si>
    <t>https://www.digikey.pt/en/products/detail/onsemi/1N4728A/977183</t>
  </si>
  <si>
    <t>H1,H2,H3,H4,H5,H6,H7,H8,H9,H10,H11,H12,H13,H14,H15</t>
  </si>
  <si>
    <t>MountingHole_M3</t>
  </si>
  <si>
    <t>MountingHole:MountingHole_3.2mm_M3</t>
  </si>
  <si>
    <t>JCond1,JCond2,Jfilt1,Jfilt2</t>
  </si>
  <si>
    <t>Screw_Terminal_01x03</t>
  </si>
  <si>
    <t>Custom:CONN3_2604-3103_WAG</t>
  </si>
  <si>
    <t>https://www.digikey.pt/en/products/detail/wago-corporation/2604-1101/15522416</t>
  </si>
  <si>
    <t>Jdac1,Jdac2</t>
  </si>
  <si>
    <t>PINHD_1x3_Male</t>
  </si>
  <si>
    <t>Connector_PinHeader_2.54mm:PinHeader_1x03_P2.54mm_Vertical</t>
  </si>
  <si>
    <t>----------------------------------------------------------------</t>
  </si>
  <si>
    <t>Jdisp1</t>
  </si>
  <si>
    <t>PINHD_1x7_Male</t>
  </si>
  <si>
    <t>Connector_PinHeader_2.54mm:PinHeader_1x07_P2.54mm_Vertical</t>
  </si>
  <si>
    <t>Jenc1</t>
  </si>
  <si>
    <t>PINHD_1x5_Male</t>
  </si>
  <si>
    <t>Connector_PinHeader_2.54mm:PinHeader_1x05_P2.54mm_Vertical</t>
  </si>
  <si>
    <t>JmonoCtrl1</t>
  </si>
  <si>
    <t>Screw_Terminal_01x07</t>
  </si>
  <si>
    <t>Custom:CONN4_2604-3107_WAG</t>
  </si>
  <si>
    <t>Jrel1,Jrel2,JSense1</t>
  </si>
  <si>
    <t>Screw_Terminal_01x04</t>
  </si>
  <si>
    <t>Custom:CONN4_2604-3104_WAG</t>
  </si>
  <si>
    <t>Jsense2,Jsense3</t>
  </si>
  <si>
    <t>Screw_Terminal_01x06</t>
  </si>
  <si>
    <t>Custom:CONN4_2604-3106_WAG</t>
  </si>
  <si>
    <t>Jsoft1,Jsoft2,JSource1</t>
  </si>
  <si>
    <t>Screw_Terminal_01x02</t>
  </si>
  <si>
    <t>Custom:CONN2_2604-3102_WAG</t>
  </si>
  <si>
    <t>JtrifCtrl1</t>
  </si>
  <si>
    <t>Screw_Terminal_01x11</t>
  </si>
  <si>
    <t>Custom:CONN4_2604-3111_WAG</t>
  </si>
  <si>
    <t>K1,K2,K3</t>
  </si>
  <si>
    <t>SPDT 16A 12V</t>
  </si>
  <si>
    <t>Custom:RELAY_G2R-1-E AC12_OMR</t>
  </si>
  <si>
    <t>https://www.digikey.pt/en/products/detail/omron-electronics-inc-emc-div/G2R-1-E-DC12/153649</t>
  </si>
  <si>
    <t>Lfilt1,Lfilt2,Lfilt3</t>
  </si>
  <si>
    <t>330uH 3A</t>
  </si>
  <si>
    <t>Custom:IND_PE-53117NL_PUL</t>
  </si>
  <si>
    <t>https://www.digikey.pt/en/products/detail/pulse-electronics/PE-53117NL/2266021</t>
  </si>
  <si>
    <t>M20mm1,M20mm2,M20mm3,M20mm4</t>
  </si>
  <si>
    <t>5V 0.23A</t>
  </si>
  <si>
    <t>Connector_PinHeader_2.54mm:PinHeader_2x01_P2.54mm_Vertical</t>
  </si>
  <si>
    <t>M120mm1</t>
  </si>
  <si>
    <t>12V 0.3A</t>
  </si>
  <si>
    <t>Connector:FanPinHeader_1x03_P2.54mm_Vertical</t>
  </si>
  <si>
    <t>OCiso1,OCiso2,OCiso3,OCiso4,OCiso5,OCiso6,OCiso7,OCiso8,OCiso9,OCiso10,OCiso11</t>
  </si>
  <si>
    <t>HCPL-3120</t>
  </si>
  <si>
    <t>PCM_Package_DIP_AKL:DIP-8_W7.62mm_LongPads</t>
  </si>
  <si>
    <t>https://www.digikey.pt/en/products/detail/broadcom-limited/HCPL-3120/637386</t>
  </si>
  <si>
    <t>Qfan1</t>
  </si>
  <si>
    <t>IRLZ44N</t>
  </si>
  <si>
    <t>PCM_Package_TO_SOT_THT_AKL:TO-220-3_Vertical_GDS</t>
  </si>
  <si>
    <t>https://www.digikey.pt/en/products/detail/infineon-technologies/IRLZ44NPBF/811808</t>
  </si>
  <si>
    <t>Qrel1,Qrel2</t>
  </si>
  <si>
    <t>2N2222A</t>
  </si>
  <si>
    <t>PCM_Package_TO_SOT_THT_AKL:TO-92_Inline_Wide_EBC</t>
  </si>
  <si>
    <t>https://www.digikey.pt/en/products/detail/diotec-semiconductor/2N2222A/13164037</t>
  </si>
  <si>
    <t>Radc1,Radc2,Radc3</t>
  </si>
  <si>
    <t>Resistor_THT:R_Axial_DIN0309_L9.0mm_D3.2mm_P2.54mm_Vertical</t>
  </si>
  <si>
    <t>https://www.digikey.pt/en/products/detail/stackpole-electronics-inc/CF14JT200R/1741336</t>
  </si>
  <si>
    <t>Rdiv1,Rgs1,Rgs2,Rgs3,Rgs4,Rgs5,Rgs6,Rgs7,Rgs8,Rgs9,Rgs10,Rgs11,Rprot1,Rtemp1</t>
  </si>
  <si>
    <t>10k</t>
  </si>
  <si>
    <t>https://www.digikey.pt/en/products/detail/stackpole-electronics-inc/CF12JT10K0/1741024</t>
  </si>
  <si>
    <t>RF1,RF2,RF3,RF4,RF5</t>
  </si>
  <si>
    <t>https://www.digikey.pt/en/products/detail/stackpole-electronics-inc/CF14JT100R/1741261</t>
  </si>
  <si>
    <t>Rfan1,Rled1,Rled2,Rled3,Rled4,Rled5,Rled6,Rled7,Rled8,Rled9,Rled10,Rled11</t>
  </si>
  <si>
    <t>https://www.digikey.pt/en/products/detail/stackpole-electronics-inc/CFM12JT330R/1741936</t>
  </si>
  <si>
    <t>Rfilt1,Rfilt2,Rfilt3</t>
  </si>
  <si>
    <t>100 OHM 5% 10W</t>
  </si>
  <si>
    <t>Custom:VM10JB100R</t>
  </si>
  <si>
    <t>https://www.digikey.pt/en/products/detail/stackpole-electronics-inc/VM10JB100R/6274874</t>
  </si>
  <si>
    <t>RFs1,RFs2,Rrel1,Rrel2</t>
  </si>
  <si>
    <t>1k</t>
  </si>
  <si>
    <t>https://www.digikey.pt/en/products/detail/stackpole-electronics-inc/CF12JT1K00/1741062</t>
  </si>
  <si>
    <t>Rg1,Rg2,Rg3,Rg4,Rg5,Rg6,Rg7,Rg8,Rg9,Rg10,Rg11</t>
  </si>
  <si>
    <t>https://www.digikey.pt/en/products/detail/stackpole-electronics-inc/CF14JT22R0/1741344</t>
  </si>
  <si>
    <t>Rhcpl1,Rhcpl2,Rhcpl3,Rhcpl4,Rhcpl5,Rhcpl6,Rhcpl7,Rhcpl8,Rhcpl9,Rhcpl10,Rhcpl11</t>
  </si>
  <si>
    <t>https://www.digikey.pt/en/products/detail/stackpole-electronics-inc/CF14JT180R/1741307</t>
  </si>
  <si>
    <t>Rsoft1</t>
  </si>
  <si>
    <t>100 100W</t>
  </si>
  <si>
    <t>Resistor_THT:R_Axial_Power_L48.0mm_W12.5mm_P10.16mm_Vertical</t>
  </si>
  <si>
    <t>https://www.digikey.pt/en/products/detail/yageo/RS110/19997</t>
  </si>
  <si>
    <t>RVdiv1</t>
  </si>
  <si>
    <t>20k</t>
  </si>
  <si>
    <t>Potentiometer_THT:Potentiometer_Bourns_3296W_Vertical</t>
  </si>
  <si>
    <t>https://www.digikey.pt/en/products/detail/bourns-inc/PV36W203C01B00/666508</t>
  </si>
  <si>
    <t>STM1</t>
  </si>
  <si>
    <t>~</t>
  </si>
  <si>
    <t>Library:ST_Morpho_and_Zio_Connectors_144_STLink</t>
  </si>
  <si>
    <t>https://www.digikey.pt/en/mylists/list/L2R5106XDR</t>
  </si>
  <si>
    <t>TH1</t>
  </si>
  <si>
    <t>NTCALUG02A103G</t>
  </si>
  <si>
    <t>https://www.digikey.pt/en/products/detail/vishay-beyschlag-draloric-bc-components/ntcalug02a103g/2640539</t>
  </si>
  <si>
    <t>TP-15V1,TP1.65V1,TP3.3V1,TP12V1,TP15V1,TPgnd1,TPgnd2,TPgnd3,TPref1</t>
  </si>
  <si>
    <t>TestPoint</t>
  </si>
  <si>
    <t>TestPoint:TestPoint_Keystone_5000-5004_Miniature</t>
  </si>
  <si>
    <t>U1</t>
  </si>
  <si>
    <t>TSR_1-2433</t>
  </si>
  <si>
    <t>Converter_DCDC:Converter_DCDC_TRACO_TSR-1_THT</t>
  </si>
  <si>
    <t>https://www.digikey.pt/en/products/detail/traco-power/TSR-1-2433/9383776</t>
  </si>
  <si>
    <t>UAmp1</t>
  </si>
  <si>
    <t>MCP6002-I-P</t>
  </si>
  <si>
    <t>https://www.digikey.pt/en/products/detail/microchip-technology/MCP6002-I-P/500875?s=N4IgTCBcDaILIGEAKA2ADGsBaAkgeiRAF0BfIA</t>
  </si>
  <si>
    <t>Udc1</t>
  </si>
  <si>
    <t>REC30K-2415DZ</t>
  </si>
  <si>
    <t>Custom:REC30K_RCP</t>
  </si>
  <si>
    <t>https://www.digikey.pt/en/products/detail/recom-power/REC30K-2415DZ/24366422</t>
  </si>
  <si>
    <t>Udc2</t>
  </si>
  <si>
    <t>L7812CV</t>
  </si>
  <si>
    <t>PCM_Package_TO_SOT_THT_AKL:TO-220-3_Vertical</t>
  </si>
  <si>
    <t>https://www.digikey.pt/en/products/detail/stmicroelectronics/L7812CV/585973</t>
  </si>
  <si>
    <t>Upot1,Upot2,Uref1,Uref2,Uref3,Uref4,Uref5</t>
  </si>
  <si>
    <t>MEV1S1515SC</t>
  </si>
  <si>
    <t>Library:MEV1S1505SC</t>
  </si>
  <si>
    <t>https://www.digikey.pt/en/products/detail/murata-power-solutions-inc/MEV1S1515SC/2184911?s=N4IgjCBcoKwOwGYqgMZQGYEMA2BnApgDQgD2UA2uDAJxwwBMIxYADACwAcbMIAusQAcALlBABlIQCcAlgDsA5iAC%2BzNnAjQQaSFjxFSFEB2pg4cJiABslmB0bF6LDgzZ9BIyOKlzFKqvR5NbV0CYjJISlYEGDZGfhBhUQkZBWVmamNkLQwcUIMIkBY%2BPwBaVyCcvTDDOEczC1qWOmLiEuos7SkAV31wyJaQEsYKyG7ewx5eJWmgA</t>
  </si>
  <si>
    <t>Usense1,Usense2,Usense3</t>
  </si>
  <si>
    <t>LA100-P</t>
  </si>
  <si>
    <t>Sensor_Current:LEM_LA25-P</t>
  </si>
  <si>
    <t>https://www.digikey.pt/en/products/detail/lem-usa-inc/LA-100-P/409824</t>
  </si>
  <si>
    <t>Custo</t>
  </si>
  <si>
    <t>Back</t>
  </si>
  <si>
    <t>Buy</t>
  </si>
  <si>
    <t>CAmp1</t>
  </si>
  <si>
    <t>0.1uF</t>
  </si>
  <si>
    <t>Caux1,Caux2,Caux3,Caux4</t>
  </si>
  <si>
    <t>Caux5,Caux6</t>
  </si>
  <si>
    <t>Chcpl1,Chcpl2,Chcpl3,Chcpl4,Chcpl5,Chcpl6,Chcpl7,Chcpl8,Chcpl9,Chcpl10,Chcpl11</t>
  </si>
  <si>
    <t>10nF</t>
  </si>
  <si>
    <t>CFs1,CFs2</t>
  </si>
  <si>
    <t>Capacitor_THT:C_Disc_D7.5mm_W4.4mm_P5.00mm</t>
  </si>
  <si>
    <t>1nF</t>
  </si>
  <si>
    <t>JBrk1</t>
  </si>
  <si>
    <t>Jsoft1,Jsoft2</t>
  </si>
  <si>
    <t>JSource1</t>
  </si>
  <si>
    <t>temp</t>
  </si>
  <si>
    <t>JCond1</t>
  </si>
  <si>
    <t>Jfilt1,Jfilt2</t>
  </si>
  <si>
    <t>Jrel1,Jrel2</t>
  </si>
  <si>
    <t>JSense1</t>
  </si>
  <si>
    <t>Upot1,Upot2</t>
  </si>
  <si>
    <t>Uref1,Uref2,Uref3,Uref4,Uref5</t>
  </si>
  <si>
    <t>Cdc3</t>
  </si>
  <si>
    <t>Cvcc5,Cvcc6</t>
  </si>
  <si>
    <t>Drel1,Drel2,Drel3</t>
  </si>
  <si>
    <t>PCM_Diode_THT_AKL:D_DO-27_P5.08mm_Vertical_AnodeUp</t>
  </si>
  <si>
    <t>Dwheel1</t>
  </si>
  <si>
    <t>PCM_Diode_THT_AKL:D_DO-27_P12.70mm_Horizontal</t>
  </si>
  <si>
    <t>7 sockets</t>
  </si>
  <si>
    <t>7 16dip</t>
  </si>
  <si>
    <t>lm318n</t>
  </si>
  <si>
    <t>Udc3</t>
  </si>
  <si>
    <t>Rdiv1</t>
  </si>
  <si>
    <t>Rfan1</t>
  </si>
  <si>
    <t>RFs1,RFs2</t>
  </si>
  <si>
    <t>Rgs1,Rgs2,Rgs3,Rgs4,Rgs5,Rgs6,Rgs7,Rgs8,Rgs9,Rgs10,Rgs11</t>
  </si>
  <si>
    <t>Rled1,Rled2,Rled3,Rled4,Rled5,Rled6,Rled7,Rled8,Rled9,Rled10,Rled11</t>
  </si>
  <si>
    <t>Rprot1</t>
  </si>
  <si>
    <t>Rrel1,Rrel2</t>
  </si>
  <si>
    <t>Rtemp1</t>
  </si>
  <si>
    <t>wire &lt; 2.5mm2</t>
  </si>
  <si>
    <t>testpoints</t>
  </si>
  <si>
    <t>Stock</t>
  </si>
  <si>
    <t>Cost</t>
  </si>
  <si>
    <t>Cust</t>
  </si>
  <si>
    <t>Need</t>
  </si>
  <si>
    <t>T.T</t>
  </si>
  <si>
    <t>CF12JT33R0 Stackpole Electronics Inc | Through Hole Resistors | 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</si>
</sst>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4" fillId="0" borderId="0" xfId="0" applyFont="1"/>
    <xf numFmtId="0" fontId="0" fillId="3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8" fillId="0" borderId="0" xfId="42"/>
  </cellXfs>
  <cellStyles count="43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Hiperligação" xfId="42" builtinId="8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pt/en/products/detail/stackpole-electronics-inc/CF12JT33R0/1741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8D45-EF40-4F04-ABC6-CBFF81B811A5}">
  <dimension ref="A1:O56"/>
  <sheetViews>
    <sheetView tabSelected="1" topLeftCell="A21" workbookViewId="0">
      <selection activeCell="H54" sqref="H54"/>
    </sheetView>
  </sheetViews>
  <sheetFormatPr defaultRowHeight="15" x14ac:dyDescent="0.25"/>
  <cols>
    <col min="1" max="8" width="9.140625" style="4"/>
    <col min="9" max="10" width="9.140625" style="5"/>
    <col min="11" max="12" width="9.140625" style="4"/>
    <col min="13" max="13" width="9.140625" style="6"/>
    <col min="14" max="16384" width="9.140625" style="4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232</v>
      </c>
      <c r="H1" s="5" t="s">
        <v>230</v>
      </c>
      <c r="I1" s="5" t="s">
        <v>233</v>
      </c>
      <c r="J1" s="5" t="s">
        <v>190</v>
      </c>
      <c r="K1" s="5" t="s">
        <v>3</v>
      </c>
      <c r="L1" s="5" t="s">
        <v>231</v>
      </c>
      <c r="M1" s="6" t="s">
        <v>234</v>
      </c>
    </row>
    <row r="2" spans="1:13" x14ac:dyDescent="0.25">
      <c r="A2" s="4" t="s">
        <v>6</v>
      </c>
      <c r="B2" s="4">
        <v>14</v>
      </c>
      <c r="C2" s="4" t="s">
        <v>7</v>
      </c>
      <c r="D2" s="4">
        <v>0.27</v>
      </c>
      <c r="E2" s="4" t="s">
        <v>8</v>
      </c>
      <c r="F2" s="4" t="s">
        <v>9</v>
      </c>
      <c r="G2" s="4">
        <f>D2*B2</f>
        <v>3.7800000000000002</v>
      </c>
      <c r="H2" s="5">
        <v>0</v>
      </c>
      <c r="I2" s="5">
        <f>B2-H2</f>
        <v>14</v>
      </c>
      <c r="J2" s="5">
        <v>50</v>
      </c>
      <c r="K2" s="5">
        <v>0.1162</v>
      </c>
      <c r="L2" s="5">
        <f>I2*K2</f>
        <v>1.6268</v>
      </c>
      <c r="M2" s="6">
        <f>K2*J2</f>
        <v>5.81</v>
      </c>
    </row>
    <row r="3" spans="1:13" x14ac:dyDescent="0.25">
      <c r="A3" s="4" t="s">
        <v>10</v>
      </c>
      <c r="B3" s="4">
        <v>6</v>
      </c>
      <c r="C3" s="4" t="s">
        <v>11</v>
      </c>
      <c r="D3" s="4">
        <v>0.63</v>
      </c>
      <c r="E3" s="4" t="s">
        <v>12</v>
      </c>
      <c r="F3" s="4" t="s">
        <v>13</v>
      </c>
      <c r="G3" s="4">
        <f t="shared" ref="G3:G54" si="0">D3*B3</f>
        <v>3.7800000000000002</v>
      </c>
      <c r="H3" s="5">
        <v>0</v>
      </c>
      <c r="I3" s="5">
        <f t="shared" ref="I3:I54" si="1">B3-H3</f>
        <v>6</v>
      </c>
      <c r="J3" s="5">
        <v>10</v>
      </c>
      <c r="K3" s="5">
        <v>0.39100000000000001</v>
      </c>
      <c r="L3" s="5">
        <f t="shared" ref="L3:L54" si="2">I3*K3</f>
        <v>2.3460000000000001</v>
      </c>
      <c r="M3" s="6">
        <f t="shared" ref="M3:M54" si="3">K3*J3</f>
        <v>3.91</v>
      </c>
    </row>
    <row r="4" spans="1:13" x14ac:dyDescent="0.25">
      <c r="A4" s="4" t="s">
        <v>14</v>
      </c>
      <c r="B4" s="4">
        <v>4</v>
      </c>
      <c r="C4" s="4" t="s">
        <v>15</v>
      </c>
      <c r="D4" s="4">
        <v>0.09</v>
      </c>
      <c r="E4" s="4" t="s">
        <v>16</v>
      </c>
      <c r="F4" s="4" t="s">
        <v>17</v>
      </c>
      <c r="G4" s="4">
        <f t="shared" si="0"/>
        <v>0.36</v>
      </c>
      <c r="H4" s="5">
        <v>8</v>
      </c>
      <c r="I4" s="5">
        <f t="shared" si="1"/>
        <v>-4</v>
      </c>
      <c r="J4" s="5">
        <v>0</v>
      </c>
      <c r="K4" s="5">
        <v>0</v>
      </c>
      <c r="L4" s="5">
        <f t="shared" si="2"/>
        <v>0</v>
      </c>
      <c r="M4" s="6">
        <f t="shared" si="3"/>
        <v>0</v>
      </c>
    </row>
    <row r="5" spans="1:13" x14ac:dyDescent="0.25">
      <c r="A5" s="4" t="s">
        <v>18</v>
      </c>
      <c r="B5" s="4">
        <v>3</v>
      </c>
      <c r="C5" s="4" t="s">
        <v>19</v>
      </c>
      <c r="D5" s="4">
        <v>0.63</v>
      </c>
      <c r="E5" s="4" t="s">
        <v>20</v>
      </c>
      <c r="F5" s="4" t="s">
        <v>21</v>
      </c>
      <c r="G5" s="4">
        <f t="shared" si="0"/>
        <v>1.8900000000000001</v>
      </c>
      <c r="H5" s="5">
        <v>0</v>
      </c>
      <c r="I5" s="5">
        <f t="shared" si="1"/>
        <v>3</v>
      </c>
      <c r="J5" s="5">
        <v>10</v>
      </c>
      <c r="K5" s="5">
        <v>0.39800000000000002</v>
      </c>
      <c r="L5" s="5">
        <f t="shared" si="2"/>
        <v>1.194</v>
      </c>
      <c r="M5" s="6">
        <f t="shared" si="3"/>
        <v>3.9800000000000004</v>
      </c>
    </row>
    <row r="6" spans="1:13" x14ac:dyDescent="0.25">
      <c r="A6" s="4" t="s">
        <v>22</v>
      </c>
      <c r="B6" s="4">
        <v>7</v>
      </c>
      <c r="C6" s="4" t="s">
        <v>23</v>
      </c>
      <c r="D6" s="4">
        <v>0.09</v>
      </c>
      <c r="E6" s="4" t="s">
        <v>16</v>
      </c>
      <c r="F6" s="4" t="s">
        <v>24</v>
      </c>
      <c r="G6" s="4">
        <f t="shared" si="0"/>
        <v>0.63</v>
      </c>
      <c r="H6" s="5">
        <v>6</v>
      </c>
      <c r="I6" s="5">
        <f t="shared" si="1"/>
        <v>1</v>
      </c>
      <c r="J6" s="5">
        <v>50</v>
      </c>
      <c r="K6" s="5">
        <v>7.6200000000000004E-2</v>
      </c>
      <c r="L6" s="5">
        <f t="shared" si="2"/>
        <v>7.6200000000000004E-2</v>
      </c>
      <c r="M6" s="6">
        <f t="shared" si="3"/>
        <v>3.81</v>
      </c>
    </row>
    <row r="7" spans="1:13" x14ac:dyDescent="0.25">
      <c r="A7" s="4" t="s">
        <v>25</v>
      </c>
      <c r="B7" s="4">
        <v>1</v>
      </c>
      <c r="C7" s="4" t="s">
        <v>26</v>
      </c>
      <c r="D7" s="4">
        <v>0.56000000000000005</v>
      </c>
      <c r="E7" s="4" t="s">
        <v>20</v>
      </c>
      <c r="F7" s="4" t="s">
        <v>27</v>
      </c>
      <c r="G7" s="4">
        <f t="shared" si="0"/>
        <v>0.56000000000000005</v>
      </c>
      <c r="H7" s="5">
        <v>0</v>
      </c>
      <c r="I7" s="5">
        <f t="shared" si="1"/>
        <v>1</v>
      </c>
      <c r="J7" s="5">
        <v>10</v>
      </c>
      <c r="K7" s="5">
        <v>0.34599999999999997</v>
      </c>
      <c r="L7" s="5">
        <f t="shared" si="2"/>
        <v>0.34599999999999997</v>
      </c>
      <c r="M7" s="6">
        <f t="shared" si="3"/>
        <v>3.46</v>
      </c>
    </row>
    <row r="8" spans="1:13" x14ac:dyDescent="0.25">
      <c r="A8" s="4" t="s">
        <v>28</v>
      </c>
      <c r="B8" s="4">
        <v>1</v>
      </c>
      <c r="C8" s="4" t="s">
        <v>29</v>
      </c>
      <c r="D8" s="4">
        <v>0.41</v>
      </c>
      <c r="E8" s="4" t="s">
        <v>20</v>
      </c>
      <c r="F8" s="4" t="s">
        <v>30</v>
      </c>
      <c r="G8" s="4">
        <f t="shared" si="0"/>
        <v>0.41</v>
      </c>
      <c r="H8" s="5">
        <v>0</v>
      </c>
      <c r="I8" s="5">
        <f t="shared" si="1"/>
        <v>1</v>
      </c>
      <c r="J8" s="5">
        <v>10</v>
      </c>
      <c r="K8" s="5">
        <v>0</v>
      </c>
      <c r="L8" s="5">
        <f t="shared" si="2"/>
        <v>0</v>
      </c>
      <c r="M8" s="6">
        <f t="shared" si="3"/>
        <v>0</v>
      </c>
    </row>
    <row r="9" spans="1:13" x14ac:dyDescent="0.25">
      <c r="A9" s="4" t="s">
        <v>31</v>
      </c>
      <c r="B9" s="4">
        <v>5</v>
      </c>
      <c r="C9" s="4" t="s">
        <v>32</v>
      </c>
      <c r="D9" s="4">
        <v>0.3</v>
      </c>
      <c r="E9" s="4" t="s">
        <v>33</v>
      </c>
      <c r="F9" s="4" t="s">
        <v>34</v>
      </c>
      <c r="G9" s="4">
        <f t="shared" si="0"/>
        <v>1.5</v>
      </c>
      <c r="H9" s="5">
        <v>0</v>
      </c>
      <c r="I9" s="5">
        <f t="shared" si="1"/>
        <v>5</v>
      </c>
      <c r="J9" s="5">
        <v>10</v>
      </c>
      <c r="K9" s="5">
        <v>0.17799999999999999</v>
      </c>
      <c r="L9" s="5">
        <f t="shared" si="2"/>
        <v>0.8899999999999999</v>
      </c>
      <c r="M9" s="6">
        <f t="shared" si="3"/>
        <v>1.7799999999999998</v>
      </c>
    </row>
    <row r="10" spans="1:13" x14ac:dyDescent="0.25">
      <c r="A10" s="4" t="s">
        <v>35</v>
      </c>
      <c r="B10" s="4">
        <v>4</v>
      </c>
      <c r="C10" s="4" t="s">
        <v>36</v>
      </c>
      <c r="D10" s="4">
        <v>0.11</v>
      </c>
      <c r="E10" s="4" t="s">
        <v>16</v>
      </c>
      <c r="F10" s="4" t="s">
        <v>37</v>
      </c>
      <c r="G10" s="4">
        <f t="shared" si="0"/>
        <v>0.44</v>
      </c>
      <c r="H10" s="5">
        <v>0</v>
      </c>
      <c r="I10" s="5">
        <f t="shared" si="1"/>
        <v>4</v>
      </c>
      <c r="J10" s="5">
        <v>50</v>
      </c>
      <c r="K10" s="5">
        <v>9.8599999999999993E-2</v>
      </c>
      <c r="L10" s="5">
        <f t="shared" si="2"/>
        <v>0.39439999999999997</v>
      </c>
      <c r="M10" s="6">
        <f t="shared" si="3"/>
        <v>4.93</v>
      </c>
    </row>
    <row r="11" spans="1:13" x14ac:dyDescent="0.25">
      <c r="A11" s="4" t="s">
        <v>38</v>
      </c>
      <c r="B11" s="4">
        <v>3</v>
      </c>
      <c r="C11" s="4" t="s">
        <v>39</v>
      </c>
      <c r="D11" s="4">
        <v>5.64</v>
      </c>
      <c r="E11" s="4" t="s">
        <v>40</v>
      </c>
      <c r="F11" s="4" t="s">
        <v>41</v>
      </c>
      <c r="G11" s="4">
        <f t="shared" si="0"/>
        <v>16.919999999999998</v>
      </c>
      <c r="H11" s="5">
        <v>0</v>
      </c>
      <c r="I11" s="5">
        <f t="shared" si="1"/>
        <v>3</v>
      </c>
      <c r="J11" s="5">
        <v>3</v>
      </c>
      <c r="K11" s="5">
        <v>5.64</v>
      </c>
      <c r="L11" s="5">
        <f t="shared" si="2"/>
        <v>16.919999999999998</v>
      </c>
      <c r="M11" s="6">
        <f t="shared" si="3"/>
        <v>16.919999999999998</v>
      </c>
    </row>
    <row r="12" spans="1:13" x14ac:dyDescent="0.25">
      <c r="A12" s="4" t="s">
        <v>42</v>
      </c>
      <c r="B12" s="4">
        <v>1</v>
      </c>
      <c r="C12" s="4" t="s">
        <v>43</v>
      </c>
      <c r="D12" s="4">
        <v>0.26</v>
      </c>
      <c r="E12" s="4" t="s">
        <v>44</v>
      </c>
      <c r="F12" s="4" t="s">
        <v>45</v>
      </c>
      <c r="G12" s="4">
        <f t="shared" si="0"/>
        <v>0.26</v>
      </c>
      <c r="H12" s="5">
        <v>9</v>
      </c>
      <c r="I12" s="5">
        <f t="shared" si="1"/>
        <v>-8</v>
      </c>
      <c r="J12" s="5">
        <v>0</v>
      </c>
      <c r="K12" s="5">
        <v>0</v>
      </c>
      <c r="L12" s="5">
        <f t="shared" si="2"/>
        <v>0</v>
      </c>
      <c r="M12" s="6">
        <f t="shared" si="3"/>
        <v>0</v>
      </c>
    </row>
    <row r="13" spans="1:13" x14ac:dyDescent="0.25">
      <c r="A13" s="4" t="s">
        <v>46</v>
      </c>
      <c r="B13" s="4">
        <v>3</v>
      </c>
      <c r="C13" s="4" t="s">
        <v>47</v>
      </c>
      <c r="D13" s="4">
        <v>0.09</v>
      </c>
      <c r="E13" s="4" t="s">
        <v>16</v>
      </c>
      <c r="F13" s="4" t="s">
        <v>48</v>
      </c>
      <c r="G13" s="4">
        <f t="shared" si="0"/>
        <v>0.27</v>
      </c>
      <c r="H13" s="5">
        <v>0</v>
      </c>
      <c r="I13" s="5">
        <f t="shared" si="1"/>
        <v>3</v>
      </c>
      <c r="J13" s="5">
        <v>50</v>
      </c>
      <c r="K13" s="5">
        <v>7.6200000000000004E-2</v>
      </c>
      <c r="L13" s="5">
        <f t="shared" si="2"/>
        <v>0.22860000000000003</v>
      </c>
      <c r="M13" s="6">
        <f t="shared" si="3"/>
        <v>3.81</v>
      </c>
    </row>
    <row r="14" spans="1:13" x14ac:dyDescent="0.25">
      <c r="A14" s="4" t="s">
        <v>49</v>
      </c>
      <c r="B14" s="4">
        <v>1</v>
      </c>
      <c r="C14" s="4" t="s">
        <v>50</v>
      </c>
      <c r="D14" s="4">
        <v>0.3</v>
      </c>
      <c r="E14" s="4" t="s">
        <v>16</v>
      </c>
      <c r="F14" s="4" t="s">
        <v>51</v>
      </c>
      <c r="G14" s="4">
        <f t="shared" si="0"/>
        <v>0.3</v>
      </c>
      <c r="H14" s="5">
        <v>0</v>
      </c>
      <c r="I14" s="5">
        <f t="shared" si="1"/>
        <v>1</v>
      </c>
      <c r="J14" s="5">
        <v>5</v>
      </c>
      <c r="K14" s="5">
        <v>0.3</v>
      </c>
      <c r="L14" s="5">
        <f t="shared" si="2"/>
        <v>0.3</v>
      </c>
      <c r="M14" s="6">
        <f t="shared" si="3"/>
        <v>1.5</v>
      </c>
    </row>
    <row r="15" spans="1:13" x14ac:dyDescent="0.25">
      <c r="A15" s="4" t="s">
        <v>52</v>
      </c>
      <c r="B15" s="4">
        <v>6</v>
      </c>
      <c r="C15" s="4" t="s">
        <v>53</v>
      </c>
      <c r="D15" s="4">
        <v>0.28999999999999998</v>
      </c>
      <c r="E15" s="4" t="s">
        <v>54</v>
      </c>
      <c r="F15" s="4" t="s">
        <v>55</v>
      </c>
      <c r="G15" s="4">
        <f t="shared" si="0"/>
        <v>1.7399999999999998</v>
      </c>
      <c r="H15" s="5">
        <v>0</v>
      </c>
      <c r="I15" s="5">
        <f t="shared" si="1"/>
        <v>6</v>
      </c>
      <c r="J15" s="5">
        <v>100</v>
      </c>
      <c r="K15" s="5">
        <v>9.2999999999999999E-2</v>
      </c>
      <c r="L15" s="5">
        <f t="shared" si="2"/>
        <v>0.55800000000000005</v>
      </c>
      <c r="M15" s="6">
        <f t="shared" si="3"/>
        <v>9.3000000000000007</v>
      </c>
    </row>
    <row r="16" spans="1:13" x14ac:dyDescent="0.25">
      <c r="A16" s="4" t="s">
        <v>56</v>
      </c>
      <c r="B16" s="4">
        <v>11</v>
      </c>
      <c r="C16" s="4" t="s">
        <v>57</v>
      </c>
      <c r="D16" s="4">
        <v>0.15</v>
      </c>
      <c r="E16" s="4" t="s">
        <v>58</v>
      </c>
      <c r="F16" s="4" t="s">
        <v>59</v>
      </c>
      <c r="G16" s="4">
        <f t="shared" si="0"/>
        <v>1.65</v>
      </c>
      <c r="H16" s="5">
        <v>0</v>
      </c>
      <c r="I16" s="5">
        <f t="shared" si="1"/>
        <v>11</v>
      </c>
      <c r="J16" s="5">
        <v>300</v>
      </c>
      <c r="K16" s="5">
        <v>7.3499999999999996E-2</v>
      </c>
      <c r="L16" s="5">
        <f t="shared" si="2"/>
        <v>0.8085</v>
      </c>
      <c r="M16" s="6">
        <f t="shared" si="3"/>
        <v>22.049999999999997</v>
      </c>
    </row>
    <row r="17" spans="1:15" x14ac:dyDescent="0.25">
      <c r="A17" s="4" t="s">
        <v>60</v>
      </c>
      <c r="B17" s="4">
        <v>4</v>
      </c>
      <c r="C17" s="4" t="s">
        <v>61</v>
      </c>
      <c r="D17" s="4">
        <v>0.3</v>
      </c>
      <c r="E17" s="4" t="s">
        <v>62</v>
      </c>
      <c r="F17" s="4" t="s">
        <v>63</v>
      </c>
      <c r="G17" s="4">
        <f t="shared" si="0"/>
        <v>1.2</v>
      </c>
      <c r="H17" s="5">
        <v>0</v>
      </c>
      <c r="I17" s="5">
        <f t="shared" si="1"/>
        <v>4</v>
      </c>
      <c r="J17" s="5">
        <v>10</v>
      </c>
      <c r="K17" s="5">
        <v>0.182</v>
      </c>
      <c r="L17" s="5">
        <f t="shared" si="2"/>
        <v>0.72799999999999998</v>
      </c>
      <c r="M17" s="6">
        <f t="shared" si="3"/>
        <v>1.8199999999999998</v>
      </c>
    </row>
    <row r="18" spans="1:15" x14ac:dyDescent="0.25">
      <c r="A18" s="4" t="s">
        <v>64</v>
      </c>
      <c r="B18" s="4">
        <v>1</v>
      </c>
      <c r="C18" s="4" t="s">
        <v>65</v>
      </c>
      <c r="D18" s="4">
        <v>0.22</v>
      </c>
      <c r="E18" s="4" t="s">
        <v>66</v>
      </c>
      <c r="F18" s="4" t="s">
        <v>67</v>
      </c>
      <c r="G18" s="4">
        <f t="shared" si="0"/>
        <v>0.22</v>
      </c>
      <c r="H18" s="5">
        <v>0</v>
      </c>
      <c r="I18" s="5">
        <f t="shared" si="1"/>
        <v>1</v>
      </c>
      <c r="J18" s="5">
        <v>10</v>
      </c>
      <c r="K18" s="5">
        <v>0.13500000000000001</v>
      </c>
      <c r="L18" s="5">
        <f t="shared" si="2"/>
        <v>0.13500000000000001</v>
      </c>
      <c r="M18" s="6">
        <f t="shared" si="3"/>
        <v>1.35</v>
      </c>
    </row>
    <row r="19" spans="1:15" x14ac:dyDescent="0.25">
      <c r="A19" s="4" t="s">
        <v>68</v>
      </c>
      <c r="B19" s="4">
        <v>15</v>
      </c>
      <c r="C19" s="4" t="s">
        <v>69</v>
      </c>
      <c r="D19" s="4">
        <v>0</v>
      </c>
      <c r="E19" s="4" t="s">
        <v>70</v>
      </c>
      <c r="G19" s="4">
        <f t="shared" si="0"/>
        <v>0</v>
      </c>
      <c r="H19" s="5">
        <v>0</v>
      </c>
      <c r="I19" s="5">
        <f t="shared" si="1"/>
        <v>15</v>
      </c>
      <c r="J19" s="5">
        <v>0</v>
      </c>
      <c r="K19" s="5">
        <v>0</v>
      </c>
      <c r="L19" s="5">
        <f t="shared" si="2"/>
        <v>0</v>
      </c>
      <c r="M19" s="6">
        <f t="shared" si="3"/>
        <v>0</v>
      </c>
    </row>
    <row r="20" spans="1:15" x14ac:dyDescent="0.25">
      <c r="A20" s="4" t="s">
        <v>71</v>
      </c>
      <c r="B20" s="4">
        <v>4</v>
      </c>
      <c r="C20" s="4" t="s">
        <v>72</v>
      </c>
      <c r="D20" s="4">
        <v>6.36</v>
      </c>
      <c r="E20" s="4" t="s">
        <v>73</v>
      </c>
      <c r="F20" s="4" t="s">
        <v>74</v>
      </c>
      <c r="G20" s="4">
        <f t="shared" si="0"/>
        <v>25.44</v>
      </c>
      <c r="H20" s="5">
        <v>0</v>
      </c>
      <c r="I20" s="5">
        <f t="shared" si="1"/>
        <v>4</v>
      </c>
      <c r="J20" s="5">
        <v>0</v>
      </c>
      <c r="K20" s="5">
        <v>0</v>
      </c>
      <c r="L20" s="5">
        <f t="shared" si="2"/>
        <v>0</v>
      </c>
      <c r="M20" s="6">
        <f t="shared" si="3"/>
        <v>0</v>
      </c>
      <c r="N20" s="4">
        <f>O20*B20</f>
        <v>12</v>
      </c>
      <c r="O20" s="4">
        <v>3</v>
      </c>
    </row>
    <row r="21" spans="1:15" x14ac:dyDescent="0.25">
      <c r="A21" s="4" t="s">
        <v>75</v>
      </c>
      <c r="B21" s="4">
        <v>2</v>
      </c>
      <c r="C21" s="4" t="s">
        <v>76</v>
      </c>
      <c r="D21" s="4">
        <v>0</v>
      </c>
      <c r="E21" s="4" t="s">
        <v>77</v>
      </c>
      <c r="F21" s="4" t="s">
        <v>78</v>
      </c>
      <c r="G21" s="4">
        <f t="shared" si="0"/>
        <v>0</v>
      </c>
      <c r="H21" s="5">
        <v>0</v>
      </c>
      <c r="I21" s="5">
        <f t="shared" si="1"/>
        <v>2</v>
      </c>
      <c r="J21" s="5">
        <v>0</v>
      </c>
      <c r="K21" s="5">
        <v>0</v>
      </c>
      <c r="L21" s="5">
        <f t="shared" si="2"/>
        <v>0</v>
      </c>
      <c r="M21" s="6">
        <f t="shared" si="3"/>
        <v>0</v>
      </c>
      <c r="N21" s="4">
        <f t="shared" ref="N21:N28" si="4">O21*B21</f>
        <v>0</v>
      </c>
    </row>
    <row r="22" spans="1:15" x14ac:dyDescent="0.25">
      <c r="A22" s="4" t="s">
        <v>79</v>
      </c>
      <c r="B22" s="4">
        <v>1</v>
      </c>
      <c r="C22" s="4" t="s">
        <v>80</v>
      </c>
      <c r="D22" s="4">
        <v>0</v>
      </c>
      <c r="E22" s="4" t="s">
        <v>81</v>
      </c>
      <c r="F22" s="4" t="s">
        <v>78</v>
      </c>
      <c r="G22" s="4">
        <f t="shared" si="0"/>
        <v>0</v>
      </c>
      <c r="H22" s="5">
        <v>0</v>
      </c>
      <c r="I22" s="5">
        <f t="shared" si="1"/>
        <v>1</v>
      </c>
      <c r="J22" s="5">
        <v>0</v>
      </c>
      <c r="K22" s="5">
        <v>0</v>
      </c>
      <c r="L22" s="5">
        <f t="shared" si="2"/>
        <v>0</v>
      </c>
      <c r="M22" s="6">
        <f t="shared" si="3"/>
        <v>0</v>
      </c>
      <c r="N22" s="4">
        <f t="shared" si="4"/>
        <v>0</v>
      </c>
    </row>
    <row r="23" spans="1:15" x14ac:dyDescent="0.25">
      <c r="A23" s="4" t="s">
        <v>82</v>
      </c>
      <c r="B23" s="4">
        <v>1</v>
      </c>
      <c r="C23" s="4" t="s">
        <v>83</v>
      </c>
      <c r="D23" s="4">
        <v>0</v>
      </c>
      <c r="E23" s="4" t="s">
        <v>84</v>
      </c>
      <c r="F23" s="4" t="s">
        <v>78</v>
      </c>
      <c r="G23" s="4">
        <f t="shared" si="0"/>
        <v>0</v>
      </c>
      <c r="H23" s="5">
        <v>0</v>
      </c>
      <c r="I23" s="5">
        <f t="shared" si="1"/>
        <v>1</v>
      </c>
      <c r="J23" s="5">
        <v>0</v>
      </c>
      <c r="K23" s="5">
        <v>0</v>
      </c>
      <c r="L23" s="5">
        <f t="shared" si="2"/>
        <v>0</v>
      </c>
      <c r="M23" s="6">
        <f t="shared" si="3"/>
        <v>0</v>
      </c>
      <c r="N23" s="4">
        <f t="shared" si="4"/>
        <v>0</v>
      </c>
    </row>
    <row r="24" spans="1:15" x14ac:dyDescent="0.25">
      <c r="A24" s="4" t="s">
        <v>85</v>
      </c>
      <c r="B24" s="4">
        <v>1</v>
      </c>
      <c r="C24" s="4" t="s">
        <v>86</v>
      </c>
      <c r="D24" s="4">
        <v>8.1381999999999994</v>
      </c>
      <c r="E24" s="4" t="s">
        <v>87</v>
      </c>
      <c r="F24" s="4" t="s">
        <v>74</v>
      </c>
      <c r="G24" s="4">
        <f t="shared" si="0"/>
        <v>8.1381999999999994</v>
      </c>
      <c r="H24" s="5">
        <v>0</v>
      </c>
      <c r="I24" s="5">
        <f t="shared" si="1"/>
        <v>1</v>
      </c>
      <c r="J24" s="5">
        <v>0</v>
      </c>
      <c r="K24" s="5">
        <v>0</v>
      </c>
      <c r="L24" s="5">
        <f t="shared" si="2"/>
        <v>0</v>
      </c>
      <c r="M24" s="6">
        <f t="shared" si="3"/>
        <v>0</v>
      </c>
      <c r="N24" s="4">
        <f t="shared" si="4"/>
        <v>7</v>
      </c>
      <c r="O24" s="4">
        <v>7</v>
      </c>
    </row>
    <row r="25" spans="1:15" x14ac:dyDescent="0.25">
      <c r="A25" s="4" t="s">
        <v>88</v>
      </c>
      <c r="B25" s="4">
        <v>3</v>
      </c>
      <c r="C25" s="4" t="s">
        <v>89</v>
      </c>
      <c r="D25" s="4">
        <v>8.48</v>
      </c>
      <c r="E25" s="4" t="s">
        <v>90</v>
      </c>
      <c r="F25" s="4" t="s">
        <v>74</v>
      </c>
      <c r="G25" s="4">
        <f t="shared" si="0"/>
        <v>25.44</v>
      </c>
      <c r="H25" s="5">
        <v>0</v>
      </c>
      <c r="I25" s="5">
        <f t="shared" si="1"/>
        <v>3</v>
      </c>
      <c r="J25" s="5">
        <v>0</v>
      </c>
      <c r="K25" s="5">
        <v>0</v>
      </c>
      <c r="L25" s="5">
        <f t="shared" si="2"/>
        <v>0</v>
      </c>
      <c r="M25" s="6">
        <f t="shared" si="3"/>
        <v>0</v>
      </c>
      <c r="N25" s="4">
        <f t="shared" si="4"/>
        <v>12</v>
      </c>
      <c r="O25" s="4">
        <v>4</v>
      </c>
    </row>
    <row r="26" spans="1:15" x14ac:dyDescent="0.25">
      <c r="A26" s="4" t="s">
        <v>91</v>
      </c>
      <c r="B26" s="4">
        <v>2</v>
      </c>
      <c r="C26" s="4" t="s">
        <v>92</v>
      </c>
      <c r="D26" s="4">
        <v>12.72</v>
      </c>
      <c r="E26" s="4" t="s">
        <v>93</v>
      </c>
      <c r="F26" s="4" t="s">
        <v>74</v>
      </c>
      <c r="G26" s="4">
        <f t="shared" si="0"/>
        <v>25.44</v>
      </c>
      <c r="H26" s="5">
        <v>0</v>
      </c>
      <c r="I26" s="5">
        <f t="shared" si="1"/>
        <v>2</v>
      </c>
      <c r="J26" s="5">
        <v>0</v>
      </c>
      <c r="K26" s="5">
        <v>0</v>
      </c>
      <c r="L26" s="5">
        <f t="shared" si="2"/>
        <v>0</v>
      </c>
      <c r="M26" s="6">
        <f t="shared" si="3"/>
        <v>0</v>
      </c>
      <c r="N26" s="4">
        <f t="shared" si="4"/>
        <v>12</v>
      </c>
      <c r="O26" s="4">
        <v>6</v>
      </c>
    </row>
    <row r="27" spans="1:15" x14ac:dyDescent="0.25">
      <c r="A27" s="4" t="s">
        <v>94</v>
      </c>
      <c r="B27" s="4">
        <v>3</v>
      </c>
      <c r="C27" s="4" t="s">
        <v>95</v>
      </c>
      <c r="D27" s="4">
        <v>4.24</v>
      </c>
      <c r="E27" s="4" t="s">
        <v>96</v>
      </c>
      <c r="F27" s="4" t="s">
        <v>74</v>
      </c>
      <c r="G27" s="4">
        <f t="shared" si="0"/>
        <v>12.72</v>
      </c>
      <c r="H27" s="5">
        <v>0</v>
      </c>
      <c r="I27" s="5">
        <f t="shared" si="1"/>
        <v>3</v>
      </c>
      <c r="J27" s="5">
        <v>0</v>
      </c>
      <c r="K27" s="5">
        <v>0</v>
      </c>
      <c r="L27" s="5">
        <f t="shared" si="2"/>
        <v>0</v>
      </c>
      <c r="M27" s="6">
        <f t="shared" si="3"/>
        <v>0</v>
      </c>
      <c r="N27" s="4">
        <f t="shared" si="4"/>
        <v>6</v>
      </c>
      <c r="O27" s="4">
        <v>2</v>
      </c>
    </row>
    <row r="28" spans="1:15" x14ac:dyDescent="0.25">
      <c r="A28" s="4" t="s">
        <v>97</v>
      </c>
      <c r="B28" s="4">
        <v>1</v>
      </c>
      <c r="C28" s="4" t="s">
        <v>98</v>
      </c>
      <c r="D28" s="4">
        <v>23.32</v>
      </c>
      <c r="E28" s="4" t="s">
        <v>99</v>
      </c>
      <c r="F28" s="4" t="s">
        <v>74</v>
      </c>
      <c r="G28" s="4">
        <f t="shared" si="0"/>
        <v>23.32</v>
      </c>
      <c r="H28" s="5">
        <v>2</v>
      </c>
      <c r="I28" s="5">
        <f>SUM(N20:N47)-H28</f>
        <v>60</v>
      </c>
      <c r="J28" s="5">
        <v>65</v>
      </c>
      <c r="K28" s="5">
        <v>1.1978</v>
      </c>
      <c r="L28" s="5">
        <f t="shared" si="2"/>
        <v>71.867999999999995</v>
      </c>
      <c r="M28" s="6">
        <f t="shared" si="3"/>
        <v>77.856999999999999</v>
      </c>
      <c r="N28" s="4">
        <f>O28*B28</f>
        <v>11</v>
      </c>
      <c r="O28" s="4">
        <v>11</v>
      </c>
    </row>
    <row r="29" spans="1:15" x14ac:dyDescent="0.25">
      <c r="A29" s="4" t="s">
        <v>100</v>
      </c>
      <c r="B29" s="4">
        <v>3</v>
      </c>
      <c r="C29" s="4" t="s">
        <v>101</v>
      </c>
      <c r="D29" s="4">
        <v>5.8</v>
      </c>
      <c r="E29" s="4" t="s">
        <v>102</v>
      </c>
      <c r="F29" s="4" t="s">
        <v>103</v>
      </c>
      <c r="G29" s="4">
        <f t="shared" si="0"/>
        <v>17.399999999999999</v>
      </c>
      <c r="H29" s="5">
        <v>0</v>
      </c>
      <c r="I29" s="5">
        <f t="shared" si="1"/>
        <v>3</v>
      </c>
      <c r="J29" s="5">
        <v>3</v>
      </c>
      <c r="K29" s="5">
        <v>5.8</v>
      </c>
      <c r="L29" s="5">
        <f t="shared" si="2"/>
        <v>17.399999999999999</v>
      </c>
      <c r="M29" s="6">
        <f t="shared" si="3"/>
        <v>17.399999999999999</v>
      </c>
    </row>
    <row r="30" spans="1:15" x14ac:dyDescent="0.25">
      <c r="A30" s="4" t="s">
        <v>104</v>
      </c>
      <c r="B30" s="4">
        <v>3</v>
      </c>
      <c r="C30" s="4" t="s">
        <v>105</v>
      </c>
      <c r="D30" s="4">
        <v>4.55</v>
      </c>
      <c r="E30" s="4" t="s">
        <v>106</v>
      </c>
      <c r="F30" s="4" t="s">
        <v>107</v>
      </c>
      <c r="G30" s="4">
        <f t="shared" si="0"/>
        <v>13.649999999999999</v>
      </c>
      <c r="H30" s="5">
        <v>0</v>
      </c>
      <c r="I30" s="5">
        <f t="shared" si="1"/>
        <v>3</v>
      </c>
      <c r="J30" s="5">
        <v>3</v>
      </c>
      <c r="K30" s="5">
        <v>4.55</v>
      </c>
      <c r="L30" s="5">
        <f t="shared" si="2"/>
        <v>13.649999999999999</v>
      </c>
      <c r="M30" s="6">
        <f t="shared" si="3"/>
        <v>13.649999999999999</v>
      </c>
    </row>
    <row r="31" spans="1:15" x14ac:dyDescent="0.25">
      <c r="A31" s="4" t="s">
        <v>108</v>
      </c>
      <c r="B31" s="4">
        <v>4</v>
      </c>
      <c r="C31" s="4" t="s">
        <v>109</v>
      </c>
      <c r="D31" s="4">
        <v>0</v>
      </c>
      <c r="E31" s="4" t="s">
        <v>110</v>
      </c>
      <c r="F31" s="4" t="s">
        <v>78</v>
      </c>
      <c r="G31" s="4">
        <f t="shared" si="0"/>
        <v>0</v>
      </c>
      <c r="H31" s="5">
        <v>0</v>
      </c>
      <c r="I31" s="5">
        <f t="shared" si="1"/>
        <v>4</v>
      </c>
      <c r="J31" s="5">
        <v>0</v>
      </c>
      <c r="K31" s="5">
        <v>0</v>
      </c>
      <c r="L31" s="5">
        <f t="shared" si="2"/>
        <v>0</v>
      </c>
      <c r="M31" s="6">
        <f t="shared" si="3"/>
        <v>0</v>
      </c>
    </row>
    <row r="32" spans="1:15" x14ac:dyDescent="0.25">
      <c r="A32" s="4" t="s">
        <v>111</v>
      </c>
      <c r="B32" s="4">
        <v>1</v>
      </c>
      <c r="C32" s="4" t="s">
        <v>112</v>
      </c>
      <c r="D32" s="4">
        <v>0</v>
      </c>
      <c r="E32" s="4" t="s">
        <v>113</v>
      </c>
      <c r="F32" s="4" t="s">
        <v>78</v>
      </c>
      <c r="G32" s="4">
        <f t="shared" si="0"/>
        <v>0</v>
      </c>
      <c r="H32" s="5">
        <v>0</v>
      </c>
      <c r="I32" s="5">
        <f t="shared" si="1"/>
        <v>1</v>
      </c>
      <c r="J32" s="5">
        <v>0</v>
      </c>
      <c r="K32" s="5">
        <v>0</v>
      </c>
      <c r="L32" s="5">
        <f t="shared" si="2"/>
        <v>0</v>
      </c>
      <c r="M32" s="6">
        <f t="shared" si="3"/>
        <v>0</v>
      </c>
    </row>
    <row r="33" spans="1:15" x14ac:dyDescent="0.25">
      <c r="A33" s="4" t="s">
        <v>114</v>
      </c>
      <c r="B33" s="4">
        <v>11</v>
      </c>
      <c r="C33" s="4" t="s">
        <v>115</v>
      </c>
      <c r="D33" s="4">
        <v>4.6900000000000004</v>
      </c>
      <c r="E33" s="4" t="s">
        <v>116</v>
      </c>
      <c r="F33" s="4" t="s">
        <v>117</v>
      </c>
      <c r="G33" s="4">
        <f t="shared" si="0"/>
        <v>51.59</v>
      </c>
      <c r="H33" s="5">
        <v>10</v>
      </c>
      <c r="I33" s="5">
        <f t="shared" si="1"/>
        <v>1</v>
      </c>
      <c r="J33" s="5">
        <v>5</v>
      </c>
      <c r="K33" s="5">
        <v>4.6900000000000004</v>
      </c>
      <c r="L33" s="5">
        <f t="shared" si="2"/>
        <v>4.6900000000000004</v>
      </c>
      <c r="M33" s="6">
        <f t="shared" si="3"/>
        <v>23.450000000000003</v>
      </c>
    </row>
    <row r="34" spans="1:15" x14ac:dyDescent="0.25">
      <c r="A34" s="4" t="s">
        <v>118</v>
      </c>
      <c r="B34" s="4">
        <v>1</v>
      </c>
      <c r="C34" s="4" t="s">
        <v>119</v>
      </c>
      <c r="D34" s="4">
        <v>1.96</v>
      </c>
      <c r="E34" s="4" t="s">
        <v>120</v>
      </c>
      <c r="F34" s="4" t="s">
        <v>121</v>
      </c>
      <c r="G34" s="4">
        <f t="shared" si="0"/>
        <v>1.96</v>
      </c>
      <c r="H34" s="5">
        <v>0</v>
      </c>
      <c r="I34" s="5">
        <f t="shared" si="1"/>
        <v>1</v>
      </c>
      <c r="J34" s="5">
        <v>2</v>
      </c>
      <c r="K34" s="5">
        <v>1.96</v>
      </c>
      <c r="L34" s="5">
        <f t="shared" si="2"/>
        <v>1.96</v>
      </c>
      <c r="M34" s="6">
        <f t="shared" si="3"/>
        <v>3.92</v>
      </c>
    </row>
    <row r="35" spans="1:15" x14ac:dyDescent="0.25">
      <c r="A35" s="4" t="s">
        <v>122</v>
      </c>
      <c r="B35" s="4">
        <v>2</v>
      </c>
      <c r="C35" s="4" t="s">
        <v>123</v>
      </c>
      <c r="D35" s="4">
        <v>0.18</v>
      </c>
      <c r="E35" s="4" t="s">
        <v>124</v>
      </c>
      <c r="F35" s="4" t="s">
        <v>125</v>
      </c>
      <c r="G35" s="4">
        <f t="shared" si="0"/>
        <v>0.36</v>
      </c>
      <c r="H35" s="5">
        <v>40</v>
      </c>
      <c r="I35" s="5">
        <f t="shared" si="1"/>
        <v>-38</v>
      </c>
      <c r="J35" s="5">
        <v>0</v>
      </c>
      <c r="K35" s="5">
        <v>0</v>
      </c>
      <c r="L35" s="5">
        <f t="shared" si="2"/>
        <v>0</v>
      </c>
      <c r="M35" s="6">
        <f t="shared" si="3"/>
        <v>0</v>
      </c>
    </row>
    <row r="36" spans="1:15" x14ac:dyDescent="0.25">
      <c r="A36" s="4" t="s">
        <v>126</v>
      </c>
      <c r="B36" s="4">
        <v>3</v>
      </c>
      <c r="C36" s="4">
        <v>33</v>
      </c>
      <c r="D36" s="4">
        <v>0.09</v>
      </c>
      <c r="E36" s="4" t="s">
        <v>127</v>
      </c>
      <c r="F36" s="7" t="s">
        <v>235</v>
      </c>
      <c r="G36" s="4">
        <f t="shared" si="0"/>
        <v>0.27</v>
      </c>
      <c r="H36" s="5">
        <v>0</v>
      </c>
      <c r="I36" s="5">
        <f t="shared" si="1"/>
        <v>3</v>
      </c>
      <c r="J36" s="5">
        <v>100</v>
      </c>
      <c r="K36" s="5">
        <v>2.0199999999999999E-2</v>
      </c>
      <c r="L36" s="5">
        <f t="shared" si="2"/>
        <v>6.0600000000000001E-2</v>
      </c>
      <c r="M36" s="6">
        <f t="shared" si="3"/>
        <v>2.02</v>
      </c>
    </row>
    <row r="37" spans="1:15" x14ac:dyDescent="0.25">
      <c r="A37" s="4" t="s">
        <v>129</v>
      </c>
      <c r="B37" s="4">
        <v>14</v>
      </c>
      <c r="C37" s="4" t="s">
        <v>130</v>
      </c>
      <c r="D37" s="4">
        <v>0.1</v>
      </c>
      <c r="E37" s="4" t="s">
        <v>127</v>
      </c>
      <c r="F37" s="4" t="s">
        <v>131</v>
      </c>
      <c r="G37" s="4">
        <f t="shared" si="0"/>
        <v>1.4000000000000001</v>
      </c>
      <c r="H37" s="5">
        <v>40</v>
      </c>
      <c r="I37" s="5">
        <f t="shared" si="1"/>
        <v>-26</v>
      </c>
      <c r="J37" s="5">
        <v>0</v>
      </c>
      <c r="K37" s="5">
        <v>0</v>
      </c>
      <c r="L37" s="5">
        <f t="shared" si="2"/>
        <v>0</v>
      </c>
      <c r="M37" s="6">
        <f t="shared" si="3"/>
        <v>0</v>
      </c>
    </row>
    <row r="38" spans="1:15" x14ac:dyDescent="0.25">
      <c r="A38" s="4" t="s">
        <v>132</v>
      </c>
      <c r="B38" s="4">
        <v>5</v>
      </c>
      <c r="C38" s="4">
        <v>100</v>
      </c>
      <c r="D38" s="4">
        <v>0.09</v>
      </c>
      <c r="E38" s="4" t="s">
        <v>127</v>
      </c>
      <c r="F38" s="4" t="s">
        <v>133</v>
      </c>
      <c r="G38" s="4">
        <f t="shared" si="0"/>
        <v>0.44999999999999996</v>
      </c>
      <c r="H38" s="5">
        <v>0</v>
      </c>
      <c r="I38" s="5">
        <f t="shared" si="1"/>
        <v>5</v>
      </c>
      <c r="J38" s="5">
        <v>100</v>
      </c>
      <c r="K38" s="5">
        <v>1.49E-2</v>
      </c>
      <c r="L38" s="5">
        <f t="shared" si="2"/>
        <v>7.4499999999999997E-2</v>
      </c>
      <c r="M38" s="6">
        <f t="shared" si="3"/>
        <v>1.49</v>
      </c>
    </row>
    <row r="39" spans="1:15" x14ac:dyDescent="0.25">
      <c r="A39" s="4" t="s">
        <v>134</v>
      </c>
      <c r="B39" s="4">
        <v>12</v>
      </c>
      <c r="C39" s="4">
        <v>330</v>
      </c>
      <c r="D39" s="4">
        <v>0.1</v>
      </c>
      <c r="E39" s="4" t="s">
        <v>127</v>
      </c>
      <c r="F39" s="4" t="s">
        <v>135</v>
      </c>
      <c r="G39" s="4">
        <f t="shared" si="0"/>
        <v>1.2000000000000002</v>
      </c>
      <c r="H39" s="5">
        <v>7</v>
      </c>
      <c r="I39" s="5">
        <f t="shared" si="1"/>
        <v>5</v>
      </c>
      <c r="J39" s="5">
        <v>100</v>
      </c>
      <c r="K39" s="5">
        <v>1.7399999999999999E-2</v>
      </c>
      <c r="L39" s="5">
        <f t="shared" si="2"/>
        <v>8.6999999999999994E-2</v>
      </c>
      <c r="M39" s="6">
        <f t="shared" si="3"/>
        <v>1.7399999999999998</v>
      </c>
    </row>
    <row r="40" spans="1:15" x14ac:dyDescent="0.25">
      <c r="A40" s="4" t="s">
        <v>136</v>
      </c>
      <c r="B40" s="4">
        <v>3</v>
      </c>
      <c r="C40" s="4" t="s">
        <v>137</v>
      </c>
      <c r="D40" s="4">
        <v>1.1100000000000001</v>
      </c>
      <c r="E40" s="4" t="s">
        <v>138</v>
      </c>
      <c r="F40" s="4" t="s">
        <v>139</v>
      </c>
      <c r="G40" s="4">
        <f t="shared" si="0"/>
        <v>3.33</v>
      </c>
      <c r="H40" s="5">
        <v>0</v>
      </c>
      <c r="I40" s="5">
        <f t="shared" si="1"/>
        <v>3</v>
      </c>
      <c r="J40" s="5">
        <v>10</v>
      </c>
      <c r="K40" s="5">
        <v>0.72899999999999998</v>
      </c>
      <c r="L40" s="5">
        <f t="shared" si="2"/>
        <v>2.1869999999999998</v>
      </c>
      <c r="M40" s="6">
        <f t="shared" si="3"/>
        <v>7.29</v>
      </c>
    </row>
    <row r="41" spans="1:15" x14ac:dyDescent="0.25">
      <c r="A41" s="4" t="s">
        <v>140</v>
      </c>
      <c r="B41" s="4">
        <v>4</v>
      </c>
      <c r="C41" s="4" t="s">
        <v>141</v>
      </c>
      <c r="D41" s="4">
        <v>0.1</v>
      </c>
      <c r="E41" s="4" t="s">
        <v>127</v>
      </c>
      <c r="F41" s="4" t="s">
        <v>142</v>
      </c>
      <c r="G41" s="4">
        <f t="shared" si="0"/>
        <v>0.4</v>
      </c>
      <c r="H41" s="5">
        <v>80</v>
      </c>
      <c r="I41" s="5">
        <f t="shared" si="1"/>
        <v>-76</v>
      </c>
      <c r="J41" s="5">
        <v>0</v>
      </c>
      <c r="K41" s="5">
        <v>0</v>
      </c>
      <c r="L41" s="5">
        <f t="shared" si="2"/>
        <v>0</v>
      </c>
      <c r="M41" s="6">
        <f t="shared" si="3"/>
        <v>0</v>
      </c>
    </row>
    <row r="42" spans="1:15" x14ac:dyDescent="0.25">
      <c r="A42" s="4" t="s">
        <v>143</v>
      </c>
      <c r="B42" s="4">
        <v>11</v>
      </c>
      <c r="C42" s="4">
        <v>22</v>
      </c>
      <c r="D42" s="4">
        <v>0.09</v>
      </c>
      <c r="E42" s="4" t="s">
        <v>127</v>
      </c>
      <c r="F42" s="4" t="s">
        <v>144</v>
      </c>
      <c r="G42" s="4">
        <f t="shared" si="0"/>
        <v>0.99</v>
      </c>
      <c r="H42" s="5">
        <v>0</v>
      </c>
      <c r="I42" s="5">
        <f t="shared" si="1"/>
        <v>11</v>
      </c>
      <c r="J42" s="5">
        <v>100</v>
      </c>
      <c r="K42" s="5">
        <v>1.49E-2</v>
      </c>
      <c r="L42" s="5">
        <f t="shared" si="2"/>
        <v>0.16389999999999999</v>
      </c>
      <c r="M42" s="6">
        <f t="shared" si="3"/>
        <v>1.49</v>
      </c>
    </row>
    <row r="43" spans="1:15" x14ac:dyDescent="0.25">
      <c r="A43" s="4" t="s">
        <v>145</v>
      </c>
      <c r="B43" s="4">
        <v>11</v>
      </c>
      <c r="C43" s="4">
        <v>180</v>
      </c>
      <c r="D43" s="4">
        <v>0.09</v>
      </c>
      <c r="E43" s="4" t="s">
        <v>127</v>
      </c>
      <c r="F43" s="4" t="s">
        <v>146</v>
      </c>
      <c r="G43" s="4">
        <f t="shared" si="0"/>
        <v>0.99</v>
      </c>
      <c r="H43" s="5">
        <v>0</v>
      </c>
      <c r="I43" s="5">
        <f t="shared" si="1"/>
        <v>11</v>
      </c>
      <c r="J43" s="5">
        <v>100</v>
      </c>
      <c r="K43" s="5">
        <v>1.49E-2</v>
      </c>
      <c r="L43" s="5">
        <f t="shared" si="2"/>
        <v>0.16389999999999999</v>
      </c>
      <c r="M43" s="6">
        <f t="shared" si="3"/>
        <v>1.49</v>
      </c>
    </row>
    <row r="44" spans="1:15" x14ac:dyDescent="0.25">
      <c r="A44" s="4" t="s">
        <v>147</v>
      </c>
      <c r="B44" s="4">
        <v>1</v>
      </c>
      <c r="C44" s="4" t="s">
        <v>148</v>
      </c>
      <c r="D44" s="4">
        <v>0.48199999999999998</v>
      </c>
      <c r="E44" s="4" t="s">
        <v>149</v>
      </c>
      <c r="F44" s="4" t="s">
        <v>150</v>
      </c>
      <c r="G44" s="4">
        <f t="shared" si="0"/>
        <v>0.48199999999999998</v>
      </c>
      <c r="H44" s="5">
        <v>0</v>
      </c>
      <c r="I44" s="5">
        <f t="shared" si="1"/>
        <v>1</v>
      </c>
      <c r="J44" s="5">
        <v>1</v>
      </c>
      <c r="K44" s="5">
        <f>O44*J44/(168)</f>
        <v>0.48232142857142857</v>
      </c>
      <c r="L44" s="5">
        <f t="shared" si="2"/>
        <v>0.48232142857142857</v>
      </c>
      <c r="M44" s="6">
        <f>O44</f>
        <v>81.03</v>
      </c>
      <c r="O44" s="4">
        <v>81.03</v>
      </c>
    </row>
    <row r="45" spans="1:15" x14ac:dyDescent="0.25">
      <c r="A45" s="4" t="s">
        <v>151</v>
      </c>
      <c r="B45" s="4">
        <v>1</v>
      </c>
      <c r="C45" s="4" t="s">
        <v>152</v>
      </c>
      <c r="D45" s="4">
        <v>1.91</v>
      </c>
      <c r="E45" s="4" t="s">
        <v>153</v>
      </c>
      <c r="F45" s="4" t="s">
        <v>154</v>
      </c>
      <c r="G45" s="4">
        <f t="shared" si="0"/>
        <v>1.91</v>
      </c>
      <c r="H45" s="5">
        <v>1</v>
      </c>
      <c r="I45" s="5">
        <f t="shared" si="1"/>
        <v>0</v>
      </c>
      <c r="J45" s="5">
        <v>0</v>
      </c>
      <c r="K45" s="5">
        <v>0</v>
      </c>
      <c r="L45" s="5">
        <f t="shared" si="2"/>
        <v>0</v>
      </c>
      <c r="M45" s="6">
        <f t="shared" si="3"/>
        <v>0</v>
      </c>
    </row>
    <row r="46" spans="1:15" x14ac:dyDescent="0.25">
      <c r="A46" s="4" t="s">
        <v>155</v>
      </c>
      <c r="B46" s="4">
        <v>1</v>
      </c>
      <c r="C46" s="4" t="s">
        <v>156</v>
      </c>
      <c r="D46" s="4">
        <v>5.79</v>
      </c>
      <c r="E46" s="4" t="s">
        <v>157</v>
      </c>
      <c r="F46" s="4" t="s">
        <v>158</v>
      </c>
      <c r="G46" s="4">
        <f t="shared" si="0"/>
        <v>5.79</v>
      </c>
      <c r="H46" s="5">
        <v>0</v>
      </c>
      <c r="I46" s="5">
        <f t="shared" si="1"/>
        <v>1</v>
      </c>
      <c r="J46" s="5">
        <v>0</v>
      </c>
      <c r="K46" s="5">
        <v>0</v>
      </c>
      <c r="L46" s="5">
        <f t="shared" si="2"/>
        <v>0</v>
      </c>
      <c r="M46" s="6">
        <f t="shared" si="3"/>
        <v>0</v>
      </c>
    </row>
    <row r="47" spans="1:15" x14ac:dyDescent="0.25">
      <c r="A47" s="4" t="s">
        <v>159</v>
      </c>
      <c r="B47" s="4">
        <v>1</v>
      </c>
      <c r="C47" s="4" t="s">
        <v>160</v>
      </c>
      <c r="D47" s="4">
        <v>5.82</v>
      </c>
      <c r="E47" s="4" t="s">
        <v>96</v>
      </c>
      <c r="F47" s="4" t="s">
        <v>161</v>
      </c>
      <c r="G47" s="4">
        <f t="shared" si="0"/>
        <v>5.82</v>
      </c>
      <c r="H47" s="5">
        <v>0</v>
      </c>
      <c r="I47" s="5">
        <f t="shared" si="1"/>
        <v>1</v>
      </c>
      <c r="J47" s="5">
        <v>1</v>
      </c>
      <c r="K47" s="5">
        <v>1.58</v>
      </c>
      <c r="L47" s="5">
        <f t="shared" si="2"/>
        <v>1.58</v>
      </c>
      <c r="M47" s="6">
        <f t="shared" si="3"/>
        <v>1.58</v>
      </c>
      <c r="N47" s="4">
        <v>2</v>
      </c>
    </row>
    <row r="48" spans="1:15" x14ac:dyDescent="0.25">
      <c r="A48" s="4" t="s">
        <v>162</v>
      </c>
      <c r="B48" s="4">
        <v>9</v>
      </c>
      <c r="C48" s="4" t="s">
        <v>163</v>
      </c>
      <c r="D48" s="4">
        <v>0</v>
      </c>
      <c r="E48" s="4" t="s">
        <v>164</v>
      </c>
      <c r="F48" s="4" t="s">
        <v>156</v>
      </c>
      <c r="G48" s="4">
        <f t="shared" si="0"/>
        <v>0</v>
      </c>
      <c r="H48" s="5">
        <v>0</v>
      </c>
      <c r="I48" s="5">
        <f t="shared" si="1"/>
        <v>9</v>
      </c>
      <c r="J48" s="5">
        <v>0</v>
      </c>
      <c r="K48" s="5">
        <v>0</v>
      </c>
      <c r="L48" s="5">
        <f t="shared" si="2"/>
        <v>0</v>
      </c>
      <c r="M48" s="6">
        <f t="shared" si="3"/>
        <v>0</v>
      </c>
    </row>
    <row r="49" spans="1:13" x14ac:dyDescent="0.25">
      <c r="A49" s="4" t="s">
        <v>165</v>
      </c>
      <c r="B49" s="4">
        <v>1</v>
      </c>
      <c r="C49" s="4" t="s">
        <v>166</v>
      </c>
      <c r="D49" s="4">
        <v>5.28</v>
      </c>
      <c r="E49" s="4" t="s">
        <v>167</v>
      </c>
      <c r="F49" s="4" t="s">
        <v>168</v>
      </c>
      <c r="G49" s="4">
        <f t="shared" si="0"/>
        <v>5.28</v>
      </c>
      <c r="H49" s="5">
        <v>0</v>
      </c>
      <c r="I49" s="5">
        <f t="shared" si="1"/>
        <v>1</v>
      </c>
      <c r="J49" s="5">
        <v>5</v>
      </c>
      <c r="K49" s="5">
        <v>25.41</v>
      </c>
      <c r="L49" s="5">
        <f t="shared" si="2"/>
        <v>25.41</v>
      </c>
      <c r="M49" s="6">
        <f t="shared" si="3"/>
        <v>127.05</v>
      </c>
    </row>
    <row r="50" spans="1:13" x14ac:dyDescent="0.25">
      <c r="A50" s="4" t="s">
        <v>169</v>
      </c>
      <c r="B50" s="4">
        <v>1</v>
      </c>
      <c r="C50" s="4" t="s">
        <v>170</v>
      </c>
      <c r="D50" s="4">
        <v>0.38</v>
      </c>
      <c r="E50" s="4" t="s">
        <v>116</v>
      </c>
      <c r="F50" s="4" t="s">
        <v>171</v>
      </c>
      <c r="G50" s="4">
        <f t="shared" si="0"/>
        <v>0.38</v>
      </c>
      <c r="H50" s="5">
        <v>0</v>
      </c>
      <c r="I50" s="5">
        <f t="shared" si="1"/>
        <v>1</v>
      </c>
      <c r="J50" s="5">
        <v>25</v>
      </c>
      <c r="K50" s="5">
        <v>0.33400000000000002</v>
      </c>
      <c r="L50" s="5">
        <f t="shared" si="2"/>
        <v>0.33400000000000002</v>
      </c>
      <c r="M50" s="6">
        <f t="shared" si="3"/>
        <v>8.35</v>
      </c>
    </row>
    <row r="51" spans="1:13" x14ac:dyDescent="0.25">
      <c r="A51" s="4" t="s">
        <v>172</v>
      </c>
      <c r="B51" s="4">
        <v>1</v>
      </c>
      <c r="C51" s="4" t="s">
        <v>173</v>
      </c>
      <c r="D51" s="4">
        <v>21.52</v>
      </c>
      <c r="E51" s="4" t="s">
        <v>174</v>
      </c>
      <c r="F51" s="4" t="s">
        <v>175</v>
      </c>
      <c r="G51" s="4">
        <f t="shared" si="0"/>
        <v>21.52</v>
      </c>
      <c r="H51" s="5">
        <v>0</v>
      </c>
      <c r="I51" s="5">
        <f t="shared" si="1"/>
        <v>1</v>
      </c>
      <c r="J51" s="5">
        <v>1</v>
      </c>
      <c r="K51" s="5">
        <v>21.52</v>
      </c>
      <c r="L51" s="5">
        <f t="shared" si="2"/>
        <v>21.52</v>
      </c>
      <c r="M51" s="6">
        <f t="shared" si="3"/>
        <v>21.52</v>
      </c>
    </row>
    <row r="52" spans="1:13" x14ac:dyDescent="0.25">
      <c r="A52" s="4" t="s">
        <v>176</v>
      </c>
      <c r="B52" s="4">
        <v>1</v>
      </c>
      <c r="C52" s="4" t="s">
        <v>177</v>
      </c>
      <c r="D52" s="4">
        <v>1</v>
      </c>
      <c r="E52" s="4" t="s">
        <v>178</v>
      </c>
      <c r="F52" s="4" t="s">
        <v>179</v>
      </c>
      <c r="G52" s="4">
        <f t="shared" si="0"/>
        <v>1</v>
      </c>
      <c r="H52" s="5">
        <v>0</v>
      </c>
      <c r="I52" s="5">
        <f t="shared" si="1"/>
        <v>1</v>
      </c>
      <c r="J52" s="5">
        <v>10</v>
      </c>
      <c r="K52" s="5">
        <v>0.72599999999999998</v>
      </c>
      <c r="L52" s="5">
        <f t="shared" si="2"/>
        <v>0.72599999999999998</v>
      </c>
      <c r="M52" s="6">
        <f t="shared" si="3"/>
        <v>7.26</v>
      </c>
    </row>
    <row r="53" spans="1:13" x14ac:dyDescent="0.25">
      <c r="A53" s="4" t="s">
        <v>180</v>
      </c>
      <c r="B53" s="4">
        <v>7</v>
      </c>
      <c r="C53" s="4" t="s">
        <v>181</v>
      </c>
      <c r="D53" s="4">
        <v>6.17</v>
      </c>
      <c r="E53" s="4" t="s">
        <v>182</v>
      </c>
      <c r="F53" s="4" t="s">
        <v>183</v>
      </c>
      <c r="G53" s="4">
        <f t="shared" si="0"/>
        <v>43.19</v>
      </c>
      <c r="H53" s="5">
        <v>2</v>
      </c>
      <c r="I53" s="5">
        <f t="shared" si="1"/>
        <v>5</v>
      </c>
      <c r="J53" s="5">
        <v>10</v>
      </c>
      <c r="K53" s="5">
        <v>5.8440000000000003</v>
      </c>
      <c r="L53" s="5">
        <f t="shared" si="2"/>
        <v>29.220000000000002</v>
      </c>
      <c r="M53" s="6">
        <f t="shared" si="3"/>
        <v>58.440000000000005</v>
      </c>
    </row>
    <row r="54" spans="1:13" x14ac:dyDescent="0.25">
      <c r="A54" s="4" t="s">
        <v>184</v>
      </c>
      <c r="B54" s="4">
        <v>3</v>
      </c>
      <c r="C54" s="4" t="s">
        <v>185</v>
      </c>
      <c r="D54" s="4">
        <v>26.75</v>
      </c>
      <c r="E54" s="4" t="s">
        <v>186</v>
      </c>
      <c r="F54" s="4" t="s">
        <v>187</v>
      </c>
      <c r="G54" s="4">
        <f t="shared" si="0"/>
        <v>80.25</v>
      </c>
      <c r="H54" s="5">
        <v>0</v>
      </c>
      <c r="I54" s="5">
        <f t="shared" si="1"/>
        <v>3</v>
      </c>
      <c r="J54" s="5">
        <v>3</v>
      </c>
      <c r="K54" s="5">
        <v>26.75</v>
      </c>
      <c r="L54" s="5">
        <f t="shared" si="2"/>
        <v>80.25</v>
      </c>
      <c r="M54" s="6">
        <f t="shared" si="3"/>
        <v>80.25</v>
      </c>
    </row>
    <row r="56" spans="1:13" x14ac:dyDescent="0.25">
      <c r="G56" s="4">
        <f>SUM(G2:G54)</f>
        <v>416.02019999999999</v>
      </c>
      <c r="L56" s="4">
        <f>SUM(L2:L54)</f>
        <v>298.37872142857145</v>
      </c>
      <c r="M56" s="4">
        <f>SUM(M2:M54)</f>
        <v>621.70699999999999</v>
      </c>
    </row>
  </sheetData>
  <hyperlinks>
    <hyperlink ref="F36" r:id="rId1" display="https://www.digikey.pt/en/products/detail/stackpole-electronics-inc/CF12JT33R0/1741128" xr:uid="{A5F17028-2D01-4ACE-94CA-D7605A182C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0C74-8F09-4BD5-8DBC-4D2195B023D6}">
  <dimension ref="A1:N70"/>
  <sheetViews>
    <sheetView workbookViewId="0">
      <selection activeCell="I16" sqref="I16"/>
    </sheetView>
  </sheetViews>
  <sheetFormatPr defaultRowHeight="15" x14ac:dyDescent="0.25"/>
  <cols>
    <col min="2" max="2" width="4.28515625" customWidth="1"/>
    <col min="4" max="4" width="6" customWidth="1"/>
    <col min="5" max="5" width="6.5703125" customWidth="1"/>
    <col min="6" max="6" width="86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188</v>
      </c>
      <c r="H1" t="s">
        <v>189</v>
      </c>
      <c r="N1" t="s">
        <v>190</v>
      </c>
    </row>
    <row r="2" spans="1:14" x14ac:dyDescent="0.25">
      <c r="A2" s="1" t="s">
        <v>191</v>
      </c>
      <c r="B2" s="1">
        <v>1</v>
      </c>
      <c r="C2" s="1" t="s">
        <v>192</v>
      </c>
      <c r="D2" s="1">
        <v>0.27</v>
      </c>
      <c r="E2" s="1" t="s">
        <v>8</v>
      </c>
      <c r="F2" s="1" t="s">
        <v>9</v>
      </c>
      <c r="G2">
        <f>D2*B2</f>
        <v>0.27</v>
      </c>
      <c r="K2">
        <f>B2-H2</f>
        <v>1</v>
      </c>
      <c r="N2" s="2">
        <v>14</v>
      </c>
    </row>
    <row r="3" spans="1:14" x14ac:dyDescent="0.25">
      <c r="A3" t="s">
        <v>193</v>
      </c>
      <c r="B3">
        <v>4</v>
      </c>
      <c r="C3" t="s">
        <v>23</v>
      </c>
      <c r="D3">
        <v>0.63</v>
      </c>
      <c r="E3" t="s">
        <v>8</v>
      </c>
      <c r="F3" t="s">
        <v>13</v>
      </c>
      <c r="G3">
        <f t="shared" ref="G3:G66" si="0">D3*B3</f>
        <v>2.52</v>
      </c>
      <c r="K3">
        <f t="shared" ref="K3:K66" si="1">B3-H3</f>
        <v>4</v>
      </c>
      <c r="N3" s="2"/>
    </row>
    <row r="4" spans="1:14" x14ac:dyDescent="0.25">
      <c r="A4" s="1" t="s">
        <v>194</v>
      </c>
      <c r="B4" s="1">
        <v>2</v>
      </c>
      <c r="C4" s="1" t="s">
        <v>192</v>
      </c>
      <c r="D4" s="1">
        <v>0.27</v>
      </c>
      <c r="E4" s="1" t="s">
        <v>8</v>
      </c>
      <c r="F4" s="1" t="s">
        <v>9</v>
      </c>
      <c r="G4">
        <f t="shared" si="0"/>
        <v>0.54</v>
      </c>
      <c r="K4">
        <f t="shared" si="1"/>
        <v>2</v>
      </c>
      <c r="N4" s="2"/>
    </row>
    <row r="5" spans="1:14" x14ac:dyDescent="0.25">
      <c r="A5" s="1" t="s">
        <v>195</v>
      </c>
      <c r="B5" s="1">
        <v>11</v>
      </c>
      <c r="C5" s="1" t="s">
        <v>192</v>
      </c>
      <c r="D5" s="1">
        <v>0.27</v>
      </c>
      <c r="E5" s="1" t="s">
        <v>8</v>
      </c>
      <c r="F5" s="1" t="s">
        <v>9</v>
      </c>
      <c r="G5">
        <f t="shared" si="0"/>
        <v>2.97</v>
      </c>
      <c r="K5">
        <f t="shared" si="1"/>
        <v>11</v>
      </c>
      <c r="N5" s="2"/>
    </row>
    <row r="6" spans="1:14" x14ac:dyDescent="0.25">
      <c r="A6" t="s">
        <v>42</v>
      </c>
      <c r="B6">
        <v>1</v>
      </c>
      <c r="C6" t="s">
        <v>196</v>
      </c>
      <c r="D6">
        <v>0.26</v>
      </c>
      <c r="E6" t="s">
        <v>44</v>
      </c>
      <c r="F6" t="s">
        <v>45</v>
      </c>
      <c r="G6">
        <f t="shared" si="0"/>
        <v>0.26</v>
      </c>
      <c r="H6">
        <v>9</v>
      </c>
      <c r="K6">
        <f t="shared" si="1"/>
        <v>-8</v>
      </c>
      <c r="N6" s="2"/>
    </row>
    <row r="7" spans="1:14" x14ac:dyDescent="0.25">
      <c r="A7" t="s">
        <v>197</v>
      </c>
      <c r="B7">
        <v>2</v>
      </c>
      <c r="C7" t="s">
        <v>23</v>
      </c>
      <c r="D7">
        <v>0.63</v>
      </c>
      <c r="E7" t="s">
        <v>198</v>
      </c>
      <c r="F7" t="s">
        <v>13</v>
      </c>
      <c r="G7">
        <f t="shared" si="0"/>
        <v>1.26</v>
      </c>
      <c r="K7">
        <f t="shared" si="1"/>
        <v>2</v>
      </c>
      <c r="N7" s="2"/>
    </row>
    <row r="8" spans="1:14" x14ac:dyDescent="0.25">
      <c r="A8" t="s">
        <v>31</v>
      </c>
      <c r="B8">
        <v>5</v>
      </c>
      <c r="C8" t="s">
        <v>199</v>
      </c>
      <c r="D8">
        <v>0.3</v>
      </c>
      <c r="E8" t="s">
        <v>33</v>
      </c>
      <c r="F8" t="s">
        <v>34</v>
      </c>
      <c r="G8">
        <f t="shared" si="0"/>
        <v>1.5</v>
      </c>
      <c r="K8">
        <f t="shared" si="1"/>
        <v>5</v>
      </c>
      <c r="N8" s="2"/>
    </row>
    <row r="9" spans="1:14" x14ac:dyDescent="0.25">
      <c r="A9" t="s">
        <v>14</v>
      </c>
      <c r="B9">
        <v>4</v>
      </c>
      <c r="C9" t="s">
        <v>15</v>
      </c>
      <c r="D9">
        <v>0.09</v>
      </c>
      <c r="E9" t="s">
        <v>16</v>
      </c>
      <c r="F9" t="s">
        <v>17</v>
      </c>
      <c r="G9">
        <f t="shared" si="0"/>
        <v>0.36</v>
      </c>
      <c r="H9">
        <v>8</v>
      </c>
      <c r="K9">
        <f t="shared" si="1"/>
        <v>-4</v>
      </c>
      <c r="N9" s="2"/>
    </row>
    <row r="10" spans="1:14" x14ac:dyDescent="0.25">
      <c r="A10" t="s">
        <v>22</v>
      </c>
      <c r="B10">
        <v>7</v>
      </c>
      <c r="C10" t="s">
        <v>23</v>
      </c>
      <c r="D10">
        <v>0.09</v>
      </c>
      <c r="E10" t="s">
        <v>16</v>
      </c>
      <c r="F10" t="s">
        <v>24</v>
      </c>
      <c r="G10">
        <f t="shared" si="0"/>
        <v>0.63</v>
      </c>
      <c r="H10">
        <v>6</v>
      </c>
      <c r="K10">
        <f t="shared" si="1"/>
        <v>1</v>
      </c>
      <c r="N10" s="2"/>
    </row>
    <row r="11" spans="1:14" x14ac:dyDescent="0.25">
      <c r="A11" t="s">
        <v>35</v>
      </c>
      <c r="B11">
        <v>4</v>
      </c>
      <c r="C11" t="s">
        <v>36</v>
      </c>
      <c r="D11">
        <v>0.11</v>
      </c>
      <c r="E11" t="s">
        <v>16</v>
      </c>
      <c r="F11" t="s">
        <v>37</v>
      </c>
      <c r="G11">
        <f t="shared" si="0"/>
        <v>0.44</v>
      </c>
      <c r="K11">
        <f t="shared" si="1"/>
        <v>4</v>
      </c>
      <c r="N11" s="2"/>
    </row>
    <row r="12" spans="1:14" x14ac:dyDescent="0.25">
      <c r="A12" t="s">
        <v>46</v>
      </c>
      <c r="B12">
        <v>3</v>
      </c>
      <c r="C12" t="s">
        <v>47</v>
      </c>
      <c r="D12">
        <v>0.09</v>
      </c>
      <c r="E12" t="s">
        <v>16</v>
      </c>
      <c r="F12" t="s">
        <v>48</v>
      </c>
      <c r="G12">
        <f t="shared" si="0"/>
        <v>0.27</v>
      </c>
      <c r="K12">
        <f t="shared" si="1"/>
        <v>3</v>
      </c>
      <c r="N12" s="2"/>
    </row>
    <row r="13" spans="1:14" x14ac:dyDescent="0.25">
      <c r="A13" t="s">
        <v>49</v>
      </c>
      <c r="B13">
        <v>1</v>
      </c>
      <c r="C13" t="s">
        <v>50</v>
      </c>
      <c r="D13">
        <v>0.3</v>
      </c>
      <c r="E13" t="s">
        <v>16</v>
      </c>
      <c r="F13" t="s">
        <v>51</v>
      </c>
      <c r="G13">
        <f t="shared" si="0"/>
        <v>0.3</v>
      </c>
      <c r="K13">
        <f t="shared" si="1"/>
        <v>1</v>
      </c>
      <c r="N13" s="2"/>
    </row>
    <row r="14" spans="1:14" x14ac:dyDescent="0.25">
      <c r="A14" t="s">
        <v>111</v>
      </c>
      <c r="B14">
        <v>1</v>
      </c>
      <c r="C14" t="s">
        <v>112</v>
      </c>
      <c r="D14">
        <v>0</v>
      </c>
      <c r="E14" t="s">
        <v>113</v>
      </c>
      <c r="F14" t="s">
        <v>78</v>
      </c>
      <c r="G14">
        <f t="shared" si="0"/>
        <v>0</v>
      </c>
      <c r="H14">
        <v>9</v>
      </c>
      <c r="K14">
        <f t="shared" si="1"/>
        <v>-8</v>
      </c>
      <c r="N14" s="2"/>
    </row>
    <row r="15" spans="1:14" x14ac:dyDescent="0.25">
      <c r="A15" t="s">
        <v>75</v>
      </c>
      <c r="B15">
        <v>2</v>
      </c>
      <c r="C15" t="s">
        <v>76</v>
      </c>
      <c r="D15">
        <v>0</v>
      </c>
      <c r="E15" t="s">
        <v>77</v>
      </c>
      <c r="F15" t="s">
        <v>78</v>
      </c>
      <c r="G15">
        <f t="shared" si="0"/>
        <v>0</v>
      </c>
      <c r="H15" s="3">
        <v>10</v>
      </c>
      <c r="K15">
        <f t="shared" si="1"/>
        <v>-8</v>
      </c>
      <c r="N15" s="2"/>
    </row>
    <row r="16" spans="1:14" x14ac:dyDescent="0.25">
      <c r="A16" t="s">
        <v>82</v>
      </c>
      <c r="B16">
        <v>1</v>
      </c>
      <c r="C16" t="s">
        <v>83</v>
      </c>
      <c r="D16">
        <v>0</v>
      </c>
      <c r="E16" t="s">
        <v>84</v>
      </c>
      <c r="F16" t="s">
        <v>78</v>
      </c>
      <c r="G16">
        <f t="shared" si="0"/>
        <v>0</v>
      </c>
      <c r="H16" s="3"/>
      <c r="K16">
        <v>-8</v>
      </c>
      <c r="N16" s="2"/>
    </row>
    <row r="17" spans="1:14" x14ac:dyDescent="0.25">
      <c r="A17" t="s">
        <v>79</v>
      </c>
      <c r="B17">
        <v>1</v>
      </c>
      <c r="C17" t="s">
        <v>80</v>
      </c>
      <c r="D17">
        <v>0</v>
      </c>
      <c r="E17" t="s">
        <v>81</v>
      </c>
      <c r="F17" t="s">
        <v>78</v>
      </c>
      <c r="G17">
        <f t="shared" si="0"/>
        <v>0</v>
      </c>
      <c r="H17" s="3"/>
      <c r="K17">
        <v>-8</v>
      </c>
      <c r="N17" s="2"/>
    </row>
    <row r="18" spans="1:14" x14ac:dyDescent="0.25">
      <c r="A18" t="s">
        <v>108</v>
      </c>
      <c r="B18">
        <v>4</v>
      </c>
      <c r="C18" t="s">
        <v>109</v>
      </c>
      <c r="D18">
        <v>0</v>
      </c>
      <c r="E18" t="s">
        <v>110</v>
      </c>
      <c r="F18" t="s">
        <v>78</v>
      </c>
      <c r="G18">
        <f t="shared" si="0"/>
        <v>0</v>
      </c>
      <c r="H18" s="3"/>
      <c r="K18">
        <v>-8</v>
      </c>
      <c r="N18" s="2"/>
    </row>
    <row r="19" spans="1:14" x14ac:dyDescent="0.25">
      <c r="A19" t="s">
        <v>165</v>
      </c>
      <c r="B19">
        <v>1</v>
      </c>
      <c r="C19" t="s">
        <v>166</v>
      </c>
      <c r="D19">
        <v>5.28</v>
      </c>
      <c r="E19" t="s">
        <v>167</v>
      </c>
      <c r="F19" t="s">
        <v>168</v>
      </c>
      <c r="G19">
        <f t="shared" si="0"/>
        <v>5.28</v>
      </c>
      <c r="K19">
        <f t="shared" si="1"/>
        <v>1</v>
      </c>
      <c r="N19" s="2"/>
    </row>
    <row r="20" spans="1:14" x14ac:dyDescent="0.25">
      <c r="A20" t="s">
        <v>38</v>
      </c>
      <c r="B20">
        <v>3</v>
      </c>
      <c r="C20" t="s">
        <v>39</v>
      </c>
      <c r="D20">
        <v>5.64</v>
      </c>
      <c r="E20" t="s">
        <v>40</v>
      </c>
      <c r="F20" t="s">
        <v>41</v>
      </c>
      <c r="G20">
        <f t="shared" si="0"/>
        <v>16.919999999999998</v>
      </c>
      <c r="K20">
        <f t="shared" si="1"/>
        <v>3</v>
      </c>
      <c r="N20" s="2"/>
    </row>
    <row r="21" spans="1:14" x14ac:dyDescent="0.25">
      <c r="A21" t="s">
        <v>200</v>
      </c>
      <c r="B21">
        <v>1</v>
      </c>
      <c r="C21" t="s">
        <v>95</v>
      </c>
      <c r="D21">
        <v>4.24</v>
      </c>
      <c r="E21" t="s">
        <v>96</v>
      </c>
      <c r="F21" t="s">
        <v>74</v>
      </c>
      <c r="G21">
        <f t="shared" si="0"/>
        <v>4.24</v>
      </c>
      <c r="H21" s="3">
        <v>2</v>
      </c>
      <c r="J21">
        <v>2</v>
      </c>
      <c r="K21">
        <f>B21*J21-H21</f>
        <v>0</v>
      </c>
      <c r="N21" s="2"/>
    </row>
    <row r="22" spans="1:14" x14ac:dyDescent="0.25">
      <c r="A22" t="s">
        <v>201</v>
      </c>
      <c r="B22">
        <v>2</v>
      </c>
      <c r="C22" t="s">
        <v>95</v>
      </c>
      <c r="D22">
        <v>4.24</v>
      </c>
      <c r="E22" t="s">
        <v>96</v>
      </c>
      <c r="F22" t="s">
        <v>74</v>
      </c>
      <c r="G22">
        <f t="shared" si="0"/>
        <v>8.48</v>
      </c>
      <c r="H22" s="3"/>
      <c r="J22">
        <v>2</v>
      </c>
      <c r="K22">
        <f t="shared" ref="K22:K31" si="2">B22*J22-H22</f>
        <v>4</v>
      </c>
      <c r="N22" s="2"/>
    </row>
    <row r="23" spans="1:14" x14ac:dyDescent="0.25">
      <c r="A23" t="s">
        <v>202</v>
      </c>
      <c r="B23">
        <v>1</v>
      </c>
      <c r="C23" t="s">
        <v>95</v>
      </c>
      <c r="D23">
        <v>4.24</v>
      </c>
      <c r="E23" t="s">
        <v>96</v>
      </c>
      <c r="F23" t="s">
        <v>74</v>
      </c>
      <c r="G23">
        <f t="shared" si="0"/>
        <v>4.24</v>
      </c>
      <c r="H23" s="3"/>
      <c r="J23">
        <v>2</v>
      </c>
      <c r="K23">
        <f t="shared" si="2"/>
        <v>2</v>
      </c>
      <c r="N23" s="2"/>
    </row>
    <row r="24" spans="1:14" x14ac:dyDescent="0.25">
      <c r="A24" t="s">
        <v>159</v>
      </c>
      <c r="B24">
        <v>1</v>
      </c>
      <c r="C24" t="s">
        <v>160</v>
      </c>
      <c r="D24">
        <v>5.82</v>
      </c>
      <c r="E24" t="s">
        <v>96</v>
      </c>
      <c r="F24" t="s">
        <v>161</v>
      </c>
      <c r="G24">
        <f t="shared" si="0"/>
        <v>5.82</v>
      </c>
      <c r="H24" s="3"/>
      <c r="I24">
        <v>0</v>
      </c>
      <c r="J24">
        <v>2</v>
      </c>
      <c r="K24">
        <f t="shared" si="2"/>
        <v>2</v>
      </c>
      <c r="L24" t="s">
        <v>203</v>
      </c>
      <c r="N24" s="2"/>
    </row>
    <row r="25" spans="1:14" x14ac:dyDescent="0.25">
      <c r="A25" t="s">
        <v>204</v>
      </c>
      <c r="B25">
        <v>1</v>
      </c>
      <c r="C25" t="s">
        <v>72</v>
      </c>
      <c r="D25">
        <v>6.36</v>
      </c>
      <c r="E25" t="s">
        <v>73</v>
      </c>
      <c r="F25" t="s">
        <v>74</v>
      </c>
      <c r="G25">
        <f t="shared" si="0"/>
        <v>6.36</v>
      </c>
      <c r="H25" s="3"/>
      <c r="J25">
        <v>3</v>
      </c>
      <c r="K25">
        <f t="shared" si="2"/>
        <v>3</v>
      </c>
      <c r="N25" s="2"/>
    </row>
    <row r="26" spans="1:14" x14ac:dyDescent="0.25">
      <c r="A26" t="s">
        <v>205</v>
      </c>
      <c r="B26">
        <v>2</v>
      </c>
      <c r="C26" t="s">
        <v>72</v>
      </c>
      <c r="D26">
        <v>6.36</v>
      </c>
      <c r="E26" t="s">
        <v>73</v>
      </c>
      <c r="F26" t="s">
        <v>74</v>
      </c>
      <c r="G26">
        <f t="shared" si="0"/>
        <v>12.72</v>
      </c>
      <c r="H26" s="3"/>
      <c r="J26">
        <v>3</v>
      </c>
      <c r="K26">
        <f t="shared" si="2"/>
        <v>6</v>
      </c>
      <c r="N26" s="2"/>
    </row>
    <row r="27" spans="1:14" x14ac:dyDescent="0.25">
      <c r="A27" t="s">
        <v>206</v>
      </c>
      <c r="B27">
        <v>2</v>
      </c>
      <c r="C27" t="s">
        <v>89</v>
      </c>
      <c r="D27">
        <v>8.48</v>
      </c>
      <c r="E27" t="s">
        <v>90</v>
      </c>
      <c r="F27" t="s">
        <v>74</v>
      </c>
      <c r="G27">
        <f t="shared" si="0"/>
        <v>16.96</v>
      </c>
      <c r="H27" s="3"/>
      <c r="J27">
        <v>4</v>
      </c>
      <c r="K27">
        <f t="shared" si="2"/>
        <v>8</v>
      </c>
      <c r="N27" s="2"/>
    </row>
    <row r="28" spans="1:14" x14ac:dyDescent="0.25">
      <c r="A28" t="s">
        <v>207</v>
      </c>
      <c r="B28">
        <v>1</v>
      </c>
      <c r="C28" t="s">
        <v>89</v>
      </c>
      <c r="D28">
        <v>8.48</v>
      </c>
      <c r="E28" t="s">
        <v>90</v>
      </c>
      <c r="F28" t="s">
        <v>74</v>
      </c>
      <c r="G28">
        <f t="shared" si="0"/>
        <v>8.48</v>
      </c>
      <c r="H28" s="3"/>
      <c r="J28">
        <v>4</v>
      </c>
      <c r="K28">
        <f t="shared" si="2"/>
        <v>4</v>
      </c>
      <c r="N28" s="2"/>
    </row>
    <row r="29" spans="1:14" x14ac:dyDescent="0.25">
      <c r="A29" t="s">
        <v>91</v>
      </c>
      <c r="B29">
        <v>2</v>
      </c>
      <c r="C29" t="s">
        <v>92</v>
      </c>
      <c r="D29">
        <v>12.72</v>
      </c>
      <c r="E29" t="s">
        <v>93</v>
      </c>
      <c r="F29" t="s">
        <v>74</v>
      </c>
      <c r="G29">
        <f t="shared" si="0"/>
        <v>25.44</v>
      </c>
      <c r="H29" s="3"/>
      <c r="J29">
        <v>6</v>
      </c>
      <c r="K29">
        <f t="shared" si="2"/>
        <v>12</v>
      </c>
      <c r="N29" s="2"/>
    </row>
    <row r="30" spans="1:14" x14ac:dyDescent="0.25">
      <c r="A30" t="s">
        <v>85</v>
      </c>
      <c r="B30">
        <v>1</v>
      </c>
      <c r="C30" t="s">
        <v>86</v>
      </c>
      <c r="D30">
        <v>8.1381999999999994</v>
      </c>
      <c r="E30" t="s">
        <v>87</v>
      </c>
      <c r="F30" t="s">
        <v>74</v>
      </c>
      <c r="G30">
        <f t="shared" si="0"/>
        <v>8.1381999999999994</v>
      </c>
      <c r="H30" s="3"/>
      <c r="J30">
        <v>7</v>
      </c>
      <c r="K30">
        <f t="shared" si="2"/>
        <v>7</v>
      </c>
      <c r="N30" s="2"/>
    </row>
    <row r="31" spans="1:14" x14ac:dyDescent="0.25">
      <c r="A31" t="s">
        <v>97</v>
      </c>
      <c r="B31">
        <v>1</v>
      </c>
      <c r="C31" t="s">
        <v>98</v>
      </c>
      <c r="D31">
        <v>23.32</v>
      </c>
      <c r="E31" t="s">
        <v>99</v>
      </c>
      <c r="F31" t="s">
        <v>74</v>
      </c>
      <c r="G31">
        <f t="shared" si="0"/>
        <v>23.32</v>
      </c>
      <c r="H31" s="3"/>
      <c r="J31">
        <v>11</v>
      </c>
      <c r="K31">
        <f t="shared" si="2"/>
        <v>11</v>
      </c>
      <c r="M31">
        <f>SUM(K21:K31)</f>
        <v>59</v>
      </c>
      <c r="N31" s="2"/>
    </row>
    <row r="32" spans="1:14" x14ac:dyDescent="0.25">
      <c r="A32" t="s">
        <v>104</v>
      </c>
      <c r="B32">
        <v>3</v>
      </c>
      <c r="C32" t="s">
        <v>105</v>
      </c>
      <c r="D32">
        <v>4.55</v>
      </c>
      <c r="E32" t="s">
        <v>106</v>
      </c>
      <c r="F32" t="s">
        <v>107</v>
      </c>
      <c r="G32">
        <f t="shared" si="0"/>
        <v>13.649999999999999</v>
      </c>
      <c r="K32">
        <f t="shared" si="1"/>
        <v>3</v>
      </c>
      <c r="N32" s="2"/>
    </row>
    <row r="33" spans="1:14" x14ac:dyDescent="0.25">
      <c r="A33" t="s">
        <v>176</v>
      </c>
      <c r="B33">
        <v>1</v>
      </c>
      <c r="C33" t="s">
        <v>173</v>
      </c>
      <c r="D33">
        <v>21.52</v>
      </c>
      <c r="E33" t="s">
        <v>174</v>
      </c>
      <c r="F33" t="s">
        <v>175</v>
      </c>
      <c r="G33">
        <f t="shared" si="0"/>
        <v>21.52</v>
      </c>
      <c r="K33">
        <f t="shared" si="1"/>
        <v>1</v>
      </c>
      <c r="N33" s="2"/>
    </row>
    <row r="34" spans="1:14" x14ac:dyDescent="0.25">
      <c r="A34" t="s">
        <v>100</v>
      </c>
      <c r="B34">
        <v>3</v>
      </c>
      <c r="C34" t="s">
        <v>101</v>
      </c>
      <c r="D34">
        <v>5.8</v>
      </c>
      <c r="E34" t="s">
        <v>102</v>
      </c>
      <c r="F34" t="s">
        <v>103</v>
      </c>
      <c r="G34">
        <f t="shared" si="0"/>
        <v>17.399999999999999</v>
      </c>
      <c r="K34">
        <f t="shared" si="1"/>
        <v>3</v>
      </c>
      <c r="N34" s="2"/>
    </row>
    <row r="35" spans="1:14" x14ac:dyDescent="0.25">
      <c r="A35" t="s">
        <v>136</v>
      </c>
      <c r="B35">
        <v>3</v>
      </c>
      <c r="C35" t="s">
        <v>137</v>
      </c>
      <c r="D35">
        <v>1.1100000000000001</v>
      </c>
      <c r="E35" t="s">
        <v>138</v>
      </c>
      <c r="F35" t="s">
        <v>139</v>
      </c>
      <c r="G35">
        <f t="shared" si="0"/>
        <v>3.33</v>
      </c>
      <c r="K35">
        <f t="shared" si="1"/>
        <v>3</v>
      </c>
      <c r="N35" s="2"/>
    </row>
    <row r="36" spans="1:14" x14ac:dyDescent="0.25">
      <c r="A36" t="s">
        <v>64</v>
      </c>
      <c r="B36">
        <v>1</v>
      </c>
      <c r="C36" t="s">
        <v>65</v>
      </c>
      <c r="D36">
        <v>0.22</v>
      </c>
      <c r="E36" t="s">
        <v>66</v>
      </c>
      <c r="F36" t="s">
        <v>67</v>
      </c>
      <c r="G36">
        <f t="shared" si="0"/>
        <v>0.22</v>
      </c>
      <c r="K36">
        <f t="shared" si="1"/>
        <v>1</v>
      </c>
      <c r="N36" s="2"/>
    </row>
    <row r="37" spans="1:14" x14ac:dyDescent="0.25">
      <c r="A37" t="s">
        <v>56</v>
      </c>
      <c r="B37">
        <v>11</v>
      </c>
      <c r="C37" t="s">
        <v>57</v>
      </c>
      <c r="D37">
        <v>0.15</v>
      </c>
      <c r="E37" t="s">
        <v>58</v>
      </c>
      <c r="F37" t="s">
        <v>59</v>
      </c>
      <c r="G37">
        <f t="shared" si="0"/>
        <v>1.65</v>
      </c>
      <c r="K37">
        <f t="shared" si="1"/>
        <v>11</v>
      </c>
      <c r="N37" s="2"/>
    </row>
    <row r="38" spans="1:14" x14ac:dyDescent="0.25">
      <c r="A38" t="s">
        <v>208</v>
      </c>
      <c r="B38">
        <v>2</v>
      </c>
      <c r="C38" t="s">
        <v>181</v>
      </c>
      <c r="D38">
        <v>6.17</v>
      </c>
      <c r="E38" t="s">
        <v>182</v>
      </c>
      <c r="F38" t="s">
        <v>183</v>
      </c>
      <c r="G38">
        <f t="shared" si="0"/>
        <v>12.34</v>
      </c>
      <c r="H38">
        <v>2</v>
      </c>
      <c r="K38">
        <f t="shared" si="1"/>
        <v>0</v>
      </c>
      <c r="N38" s="2"/>
    </row>
    <row r="39" spans="1:14" x14ac:dyDescent="0.25">
      <c r="A39" t="s">
        <v>209</v>
      </c>
      <c r="B39">
        <v>5</v>
      </c>
      <c r="C39" t="s">
        <v>181</v>
      </c>
      <c r="D39">
        <v>6.17</v>
      </c>
      <c r="E39" t="s">
        <v>182</v>
      </c>
      <c r="F39" t="s">
        <v>183</v>
      </c>
      <c r="G39">
        <f t="shared" si="0"/>
        <v>30.85</v>
      </c>
      <c r="H39">
        <v>0</v>
      </c>
      <c r="K39">
        <f t="shared" si="1"/>
        <v>5</v>
      </c>
      <c r="N39" s="2"/>
    </row>
    <row r="40" spans="1:14" x14ac:dyDescent="0.25">
      <c r="A40" t="s">
        <v>155</v>
      </c>
      <c r="B40">
        <v>1</v>
      </c>
      <c r="C40" t="s">
        <v>156</v>
      </c>
      <c r="D40">
        <v>5.79</v>
      </c>
      <c r="E40" t="s">
        <v>157</v>
      </c>
      <c r="F40" t="s">
        <v>158</v>
      </c>
      <c r="G40">
        <f t="shared" si="0"/>
        <v>5.79</v>
      </c>
      <c r="K40">
        <f t="shared" si="1"/>
        <v>1</v>
      </c>
      <c r="N40" s="2"/>
    </row>
    <row r="41" spans="1:14" x14ac:dyDescent="0.25">
      <c r="A41" t="s">
        <v>210</v>
      </c>
      <c r="B41">
        <v>1</v>
      </c>
      <c r="C41" t="s">
        <v>19</v>
      </c>
      <c r="D41">
        <v>0.63</v>
      </c>
      <c r="E41" t="s">
        <v>20</v>
      </c>
      <c r="F41" t="s">
        <v>21</v>
      </c>
      <c r="G41">
        <f t="shared" si="0"/>
        <v>0.63</v>
      </c>
      <c r="K41">
        <f t="shared" si="1"/>
        <v>1</v>
      </c>
      <c r="N41" s="2"/>
    </row>
    <row r="42" spans="1:14" x14ac:dyDescent="0.25">
      <c r="A42" t="s">
        <v>25</v>
      </c>
      <c r="B42">
        <v>1</v>
      </c>
      <c r="C42" t="s">
        <v>26</v>
      </c>
      <c r="D42">
        <v>0.56000000000000005</v>
      </c>
      <c r="E42" t="s">
        <v>20</v>
      </c>
      <c r="F42" t="s">
        <v>27</v>
      </c>
      <c r="G42">
        <f t="shared" si="0"/>
        <v>0.56000000000000005</v>
      </c>
      <c r="K42">
        <f t="shared" si="1"/>
        <v>1</v>
      </c>
      <c r="N42" s="2"/>
    </row>
    <row r="43" spans="1:14" x14ac:dyDescent="0.25">
      <c r="A43" t="s">
        <v>28</v>
      </c>
      <c r="B43">
        <v>1</v>
      </c>
      <c r="C43" t="s">
        <v>29</v>
      </c>
      <c r="D43">
        <v>0.41</v>
      </c>
      <c r="E43" t="s">
        <v>20</v>
      </c>
      <c r="F43" t="s">
        <v>30</v>
      </c>
      <c r="G43">
        <f t="shared" si="0"/>
        <v>0.41</v>
      </c>
      <c r="K43">
        <f t="shared" si="1"/>
        <v>1</v>
      </c>
      <c r="N43" s="2"/>
    </row>
    <row r="44" spans="1:14" x14ac:dyDescent="0.25">
      <c r="A44" t="s">
        <v>211</v>
      </c>
      <c r="B44">
        <v>2</v>
      </c>
      <c r="C44" t="s">
        <v>19</v>
      </c>
      <c r="D44">
        <v>0.63</v>
      </c>
      <c r="E44" t="s">
        <v>20</v>
      </c>
      <c r="F44" t="s">
        <v>21</v>
      </c>
      <c r="G44">
        <f t="shared" si="0"/>
        <v>1.26</v>
      </c>
      <c r="K44">
        <f t="shared" si="1"/>
        <v>2</v>
      </c>
      <c r="N44" s="2"/>
    </row>
    <row r="45" spans="1:14" x14ac:dyDescent="0.25">
      <c r="A45" t="s">
        <v>52</v>
      </c>
      <c r="B45">
        <v>6</v>
      </c>
      <c r="C45" t="s">
        <v>53</v>
      </c>
      <c r="D45">
        <v>0.28999999999999998</v>
      </c>
      <c r="E45" t="s">
        <v>54</v>
      </c>
      <c r="F45" t="s">
        <v>55</v>
      </c>
      <c r="G45">
        <f t="shared" si="0"/>
        <v>1.7399999999999998</v>
      </c>
      <c r="K45">
        <f t="shared" si="1"/>
        <v>6</v>
      </c>
      <c r="N45" s="2"/>
    </row>
    <row r="46" spans="1:14" x14ac:dyDescent="0.25">
      <c r="A46" t="s">
        <v>212</v>
      </c>
      <c r="B46">
        <v>3</v>
      </c>
      <c r="C46" t="s">
        <v>61</v>
      </c>
      <c r="D46">
        <v>0.3</v>
      </c>
      <c r="E46" t="s">
        <v>213</v>
      </c>
      <c r="F46" t="s">
        <v>63</v>
      </c>
      <c r="G46">
        <f t="shared" si="0"/>
        <v>0.89999999999999991</v>
      </c>
      <c r="K46">
        <f t="shared" si="1"/>
        <v>3</v>
      </c>
      <c r="N46" s="2"/>
    </row>
    <row r="47" spans="1:14" x14ac:dyDescent="0.25">
      <c r="A47" t="s">
        <v>214</v>
      </c>
      <c r="B47">
        <v>1</v>
      </c>
      <c r="C47" t="s">
        <v>61</v>
      </c>
      <c r="D47">
        <v>0.3</v>
      </c>
      <c r="E47" t="s">
        <v>215</v>
      </c>
      <c r="F47" t="s">
        <v>63</v>
      </c>
      <c r="G47">
        <f t="shared" si="0"/>
        <v>0.3</v>
      </c>
      <c r="K47">
        <f t="shared" si="1"/>
        <v>1</v>
      </c>
      <c r="N47" s="2"/>
    </row>
    <row r="48" spans="1:14" x14ac:dyDescent="0.25">
      <c r="A48" t="s">
        <v>114</v>
      </c>
      <c r="B48">
        <v>11</v>
      </c>
      <c r="C48" t="s">
        <v>115</v>
      </c>
      <c r="D48">
        <v>4.6900000000000004</v>
      </c>
      <c r="E48" t="s">
        <v>116</v>
      </c>
      <c r="F48" t="s">
        <v>117</v>
      </c>
      <c r="G48">
        <f t="shared" si="0"/>
        <v>51.59</v>
      </c>
      <c r="H48">
        <v>4</v>
      </c>
      <c r="I48" t="s">
        <v>216</v>
      </c>
      <c r="J48" t="s">
        <v>217</v>
      </c>
      <c r="K48">
        <f t="shared" si="1"/>
        <v>7</v>
      </c>
      <c r="N48" s="2">
        <v>5</v>
      </c>
    </row>
    <row r="49" spans="1:14" x14ac:dyDescent="0.25">
      <c r="A49" t="s">
        <v>169</v>
      </c>
      <c r="B49">
        <v>1</v>
      </c>
      <c r="C49" t="s">
        <v>170</v>
      </c>
      <c r="D49">
        <v>0.38</v>
      </c>
      <c r="E49" t="s">
        <v>116</v>
      </c>
      <c r="F49" t="s">
        <v>171</v>
      </c>
      <c r="G49">
        <f t="shared" si="0"/>
        <v>0.38</v>
      </c>
      <c r="I49" t="s">
        <v>218</v>
      </c>
      <c r="K49">
        <f t="shared" si="1"/>
        <v>1</v>
      </c>
      <c r="N49" s="2"/>
    </row>
    <row r="50" spans="1:14" x14ac:dyDescent="0.25">
      <c r="A50" t="s">
        <v>122</v>
      </c>
      <c r="B50">
        <v>2</v>
      </c>
      <c r="C50" t="s">
        <v>123</v>
      </c>
      <c r="D50">
        <v>0.18</v>
      </c>
      <c r="E50" t="s">
        <v>124</v>
      </c>
      <c r="F50" t="s">
        <v>125</v>
      </c>
      <c r="G50">
        <f t="shared" si="0"/>
        <v>0.36</v>
      </c>
      <c r="H50">
        <v>40</v>
      </c>
      <c r="K50">
        <f t="shared" si="1"/>
        <v>-38</v>
      </c>
      <c r="N50" s="2"/>
    </row>
    <row r="51" spans="1:14" x14ac:dyDescent="0.25">
      <c r="A51" t="s">
        <v>219</v>
      </c>
      <c r="B51">
        <v>1</v>
      </c>
      <c r="C51" t="s">
        <v>177</v>
      </c>
      <c r="D51">
        <v>1</v>
      </c>
      <c r="E51" t="s">
        <v>178</v>
      </c>
      <c r="F51" t="s">
        <v>179</v>
      </c>
      <c r="G51">
        <f t="shared" si="0"/>
        <v>1</v>
      </c>
      <c r="K51">
        <f t="shared" si="1"/>
        <v>1</v>
      </c>
      <c r="N51" s="2"/>
    </row>
    <row r="52" spans="1:14" x14ac:dyDescent="0.25">
      <c r="A52" t="s">
        <v>118</v>
      </c>
      <c r="B52">
        <v>1</v>
      </c>
      <c r="C52" t="s">
        <v>119</v>
      </c>
      <c r="D52">
        <v>1.96</v>
      </c>
      <c r="E52" t="s">
        <v>120</v>
      </c>
      <c r="F52" t="s">
        <v>121</v>
      </c>
      <c r="G52">
        <f t="shared" si="0"/>
        <v>1.96</v>
      </c>
      <c r="K52">
        <f t="shared" si="1"/>
        <v>1</v>
      </c>
      <c r="N52" s="2"/>
    </row>
    <row r="53" spans="1:14" x14ac:dyDescent="0.25">
      <c r="A53" t="s">
        <v>151</v>
      </c>
      <c r="B53">
        <v>1</v>
      </c>
      <c r="C53" t="s">
        <v>152</v>
      </c>
      <c r="D53">
        <v>1.91</v>
      </c>
      <c r="E53" t="s">
        <v>153</v>
      </c>
      <c r="F53" t="s">
        <v>154</v>
      </c>
      <c r="G53">
        <f t="shared" si="0"/>
        <v>1.91</v>
      </c>
      <c r="H53">
        <v>1</v>
      </c>
      <c r="K53">
        <f t="shared" si="1"/>
        <v>0</v>
      </c>
      <c r="N53" s="2"/>
    </row>
    <row r="54" spans="1:14" x14ac:dyDescent="0.25">
      <c r="A54" t="s">
        <v>126</v>
      </c>
      <c r="B54">
        <v>3</v>
      </c>
      <c r="C54">
        <v>200</v>
      </c>
      <c r="D54">
        <v>0.09</v>
      </c>
      <c r="E54" t="s">
        <v>127</v>
      </c>
      <c r="F54" t="s">
        <v>128</v>
      </c>
      <c r="G54">
        <f t="shared" si="0"/>
        <v>0.27</v>
      </c>
      <c r="K54">
        <f t="shared" si="1"/>
        <v>3</v>
      </c>
      <c r="N54" s="2"/>
    </row>
    <row r="55" spans="1:14" x14ac:dyDescent="0.25">
      <c r="A55" t="s">
        <v>220</v>
      </c>
      <c r="B55">
        <v>1</v>
      </c>
      <c r="C55" t="s">
        <v>130</v>
      </c>
      <c r="D55">
        <v>0.1</v>
      </c>
      <c r="E55" t="s">
        <v>127</v>
      </c>
      <c r="F55" t="s">
        <v>131</v>
      </c>
      <c r="G55">
        <f t="shared" si="0"/>
        <v>0.1</v>
      </c>
      <c r="H55">
        <v>40</v>
      </c>
      <c r="K55">
        <f t="shared" si="1"/>
        <v>-39</v>
      </c>
      <c r="N55" s="2"/>
    </row>
    <row r="56" spans="1:14" x14ac:dyDescent="0.25">
      <c r="A56" t="s">
        <v>132</v>
      </c>
      <c r="B56">
        <v>5</v>
      </c>
      <c r="C56">
        <v>100</v>
      </c>
      <c r="D56">
        <v>0.09</v>
      </c>
      <c r="E56" t="s">
        <v>127</v>
      </c>
      <c r="F56" t="s">
        <v>133</v>
      </c>
      <c r="G56">
        <f t="shared" si="0"/>
        <v>0.44999999999999996</v>
      </c>
      <c r="K56">
        <f t="shared" si="1"/>
        <v>5</v>
      </c>
      <c r="N56" s="2"/>
    </row>
    <row r="57" spans="1:14" x14ac:dyDescent="0.25">
      <c r="A57" t="s">
        <v>221</v>
      </c>
      <c r="B57">
        <v>1</v>
      </c>
      <c r="C57">
        <v>330</v>
      </c>
      <c r="D57">
        <v>0.1</v>
      </c>
      <c r="E57" t="s">
        <v>127</v>
      </c>
      <c r="F57" t="s">
        <v>135</v>
      </c>
      <c r="G57">
        <f t="shared" si="0"/>
        <v>0.1</v>
      </c>
      <c r="K57">
        <f t="shared" si="1"/>
        <v>1</v>
      </c>
      <c r="N57" s="2"/>
    </row>
    <row r="58" spans="1:14" x14ac:dyDescent="0.25">
      <c r="A58" t="s">
        <v>222</v>
      </c>
      <c r="B58">
        <v>2</v>
      </c>
      <c r="C58" t="s">
        <v>141</v>
      </c>
      <c r="D58">
        <v>0.1</v>
      </c>
      <c r="E58" t="s">
        <v>127</v>
      </c>
      <c r="F58" t="s">
        <v>142</v>
      </c>
      <c r="G58">
        <f t="shared" si="0"/>
        <v>0.2</v>
      </c>
      <c r="K58">
        <f t="shared" si="1"/>
        <v>2</v>
      </c>
      <c r="N58" s="2"/>
    </row>
    <row r="59" spans="1:14" x14ac:dyDescent="0.25">
      <c r="A59" t="s">
        <v>143</v>
      </c>
      <c r="B59">
        <v>11</v>
      </c>
      <c r="C59">
        <v>22</v>
      </c>
      <c r="D59">
        <v>0.09</v>
      </c>
      <c r="E59" t="s">
        <v>127</v>
      </c>
      <c r="F59" t="s">
        <v>144</v>
      </c>
      <c r="G59">
        <f t="shared" si="0"/>
        <v>0.99</v>
      </c>
      <c r="K59">
        <f t="shared" si="1"/>
        <v>11</v>
      </c>
      <c r="N59" s="2"/>
    </row>
    <row r="60" spans="1:14" x14ac:dyDescent="0.25">
      <c r="A60" t="s">
        <v>223</v>
      </c>
      <c r="B60">
        <v>11</v>
      </c>
      <c r="C60" t="s">
        <v>130</v>
      </c>
      <c r="D60">
        <v>0.1</v>
      </c>
      <c r="E60" t="s">
        <v>127</v>
      </c>
      <c r="F60" t="s">
        <v>131</v>
      </c>
      <c r="G60">
        <f t="shared" si="0"/>
        <v>1.1000000000000001</v>
      </c>
      <c r="H60">
        <v>40</v>
      </c>
      <c r="K60">
        <f t="shared" si="1"/>
        <v>-29</v>
      </c>
      <c r="N60" s="2"/>
    </row>
    <row r="61" spans="1:14" x14ac:dyDescent="0.25">
      <c r="A61" t="s">
        <v>145</v>
      </c>
      <c r="B61">
        <v>11</v>
      </c>
      <c r="C61">
        <v>180</v>
      </c>
      <c r="D61">
        <v>0.09</v>
      </c>
      <c r="E61" t="s">
        <v>127</v>
      </c>
      <c r="F61" t="s">
        <v>146</v>
      </c>
      <c r="G61">
        <f t="shared" si="0"/>
        <v>0.99</v>
      </c>
      <c r="K61">
        <f t="shared" si="1"/>
        <v>11</v>
      </c>
      <c r="N61" s="2"/>
    </row>
    <row r="62" spans="1:14" x14ac:dyDescent="0.25">
      <c r="A62" t="s">
        <v>224</v>
      </c>
      <c r="B62">
        <v>11</v>
      </c>
      <c r="C62">
        <v>330</v>
      </c>
      <c r="D62">
        <v>0.1</v>
      </c>
      <c r="E62" t="s">
        <v>127</v>
      </c>
      <c r="F62" t="s">
        <v>135</v>
      </c>
      <c r="G62">
        <f t="shared" si="0"/>
        <v>1.1000000000000001</v>
      </c>
      <c r="H62">
        <v>7</v>
      </c>
      <c r="K62">
        <f t="shared" si="1"/>
        <v>4</v>
      </c>
      <c r="N62" s="2"/>
    </row>
    <row r="63" spans="1:14" x14ac:dyDescent="0.25">
      <c r="A63" t="s">
        <v>225</v>
      </c>
      <c r="B63">
        <v>1</v>
      </c>
      <c r="C63" t="s">
        <v>130</v>
      </c>
      <c r="D63">
        <v>0.1</v>
      </c>
      <c r="E63" t="s">
        <v>127</v>
      </c>
      <c r="F63" t="s">
        <v>131</v>
      </c>
      <c r="G63">
        <f t="shared" si="0"/>
        <v>0.1</v>
      </c>
      <c r="H63">
        <v>40</v>
      </c>
      <c r="K63">
        <f t="shared" si="1"/>
        <v>-39</v>
      </c>
      <c r="N63" s="2"/>
    </row>
    <row r="64" spans="1:14" x14ac:dyDescent="0.25">
      <c r="A64" t="s">
        <v>226</v>
      </c>
      <c r="B64">
        <v>2</v>
      </c>
      <c r="C64" t="s">
        <v>141</v>
      </c>
      <c r="D64">
        <v>0.1</v>
      </c>
      <c r="E64" t="s">
        <v>127</v>
      </c>
      <c r="F64" t="s">
        <v>142</v>
      </c>
      <c r="G64">
        <f t="shared" si="0"/>
        <v>0.2</v>
      </c>
      <c r="H64">
        <v>80</v>
      </c>
      <c r="K64">
        <f t="shared" si="1"/>
        <v>-78</v>
      </c>
      <c r="N64" s="2"/>
    </row>
    <row r="65" spans="1:14" x14ac:dyDescent="0.25">
      <c r="A65" t="s">
        <v>227</v>
      </c>
      <c r="B65">
        <v>1</v>
      </c>
      <c r="C65" t="s">
        <v>130</v>
      </c>
      <c r="D65">
        <v>0.1</v>
      </c>
      <c r="E65" t="s">
        <v>127</v>
      </c>
      <c r="F65" t="s">
        <v>131</v>
      </c>
      <c r="G65">
        <f t="shared" si="0"/>
        <v>0.1</v>
      </c>
      <c r="H65">
        <v>40</v>
      </c>
      <c r="K65">
        <f t="shared" si="1"/>
        <v>-39</v>
      </c>
      <c r="N65" s="2"/>
    </row>
    <row r="66" spans="1:14" x14ac:dyDescent="0.25">
      <c r="A66" t="s">
        <v>147</v>
      </c>
      <c r="B66">
        <v>1</v>
      </c>
      <c r="C66" t="s">
        <v>148</v>
      </c>
      <c r="D66">
        <v>0.48199999999999998</v>
      </c>
      <c r="E66" t="s">
        <v>149</v>
      </c>
      <c r="F66" t="s">
        <v>150</v>
      </c>
      <c r="G66">
        <f t="shared" si="0"/>
        <v>0.48199999999999998</v>
      </c>
      <c r="K66">
        <f t="shared" si="1"/>
        <v>1</v>
      </c>
      <c r="N66" s="2"/>
    </row>
    <row r="67" spans="1:14" x14ac:dyDescent="0.25">
      <c r="A67" t="s">
        <v>184</v>
      </c>
      <c r="B67">
        <v>3</v>
      </c>
      <c r="C67" t="s">
        <v>185</v>
      </c>
      <c r="D67">
        <v>26.75</v>
      </c>
      <c r="E67" t="s">
        <v>186</v>
      </c>
      <c r="F67" t="s">
        <v>187</v>
      </c>
      <c r="G67">
        <f t="shared" ref="G67" si="3">D67*B67</f>
        <v>80.25</v>
      </c>
      <c r="K67">
        <f t="shared" ref="K67" si="4">B67-H67</f>
        <v>3</v>
      </c>
      <c r="N67" s="2"/>
    </row>
    <row r="68" spans="1:14" x14ac:dyDescent="0.25">
      <c r="G68">
        <f>SUM(G2:G67)</f>
        <v>413.90020000000027</v>
      </c>
    </row>
    <row r="69" spans="1:14" x14ac:dyDescent="0.25">
      <c r="F69" t="s">
        <v>228</v>
      </c>
    </row>
    <row r="70" spans="1:14" x14ac:dyDescent="0.25">
      <c r="F70" t="s">
        <v>229</v>
      </c>
    </row>
  </sheetData>
  <mergeCells count="2">
    <mergeCell ref="H15:H18"/>
    <mergeCell ref="H2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Inv_Digi</vt:lpstr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Costa</dc:creator>
  <cp:lastModifiedBy>Nuno Costa</cp:lastModifiedBy>
  <dcterms:created xsi:type="dcterms:W3CDTF">2026-06-13T23:50:34Z</dcterms:created>
  <dcterms:modified xsi:type="dcterms:W3CDTF">2026-06-13T23:50:34Z</dcterms:modified>
</cp:coreProperties>
</file>